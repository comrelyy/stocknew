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000" windowHeight="12960" tabRatio="500" activeTab="2"/>
  </bookViews>
  <sheets>
    <sheet name="使用说明" sheetId="1" r:id="rId1"/>
    <sheet name="持仓汇总" sheetId="2" r:id="rId2"/>
    <sheet name="每日行情" sheetId="3" r:id="rId3"/>
    <sheet name="操作日志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<sst xmlns="http://schemas.openxmlformats.org/spreadsheetml/2006/main" count="217" uniqueCount="154">
  <si>
    <t>📊 A股持仓追踪系统 - 使用说明</t>
  </si>
  <si>
    <t>🎯 系统目的</t>
  </si>
  <si>
    <t xml:space="preserve">  为已持仓的5只A股提供每日复盘和次日操作计划</t>
  </si>
  <si>
    <t>📋 三个Sheet说明</t>
  </si>
  <si>
    <t>1. 【持仓汇总】- 主表格</t>
  </si>
  <si>
    <t xml:space="preserve">   • 填写：成本价、持仓数量、当前价、止盈位、止损位</t>
  </si>
  <si>
    <t xml:space="preserve">   • 自动计算：持仓市值、组合占比、浮盈/亏、距止盈/止损距离</t>
  </si>
  <si>
    <t xml:space="preserve">   • 类别：持仓 或 观望</t>
  </si>
  <si>
    <t>2. 【每日行情】- 历史数据池</t>
  </si>
  <si>
    <t xml:space="preserve">   • 每个交易日收盘后追加一行（每只股票一行）</t>
  </si>
  <si>
    <t xml:space="preserve">   • 必填字段：收盘价、涨跌%、成交额、换手率、主力净流入、散户净流入</t>
  </si>
  <si>
    <t xml:space="preserve">   • 自动计算字段：主力流入占比、散户流入占比</t>
  </si>
  <si>
    <t>3. 【操作日志】- 交易记录</t>
  </si>
  <si>
    <t xml:space="preserve">   • 每次买入/卖出都要记录</t>
  </si>
  <si>
    <t xml:space="preserve">   • 用于事后复盘交易决策</t>
  </si>
  <si>
    <t>🔄 每日工作流（约5分钟）</t>
  </si>
  <si>
    <t xml:space="preserve">  15:00 A股收盘</t>
  </si>
  <si>
    <t xml:space="preserve">  ↓</t>
  </si>
  <si>
    <t xml:space="preserve">  在 持仓汇总 Sheet 更新【当前价】列</t>
  </si>
  <si>
    <t xml:space="preserve">  在 每日行情 Sheet 追加今日数据（5行）</t>
  </si>
  <si>
    <t xml:space="preserve">  保存Excel文件</t>
  </si>
  <si>
    <t xml:space="preserve">  打开 Claude Project → 删除旧Excel → 上传新Excel</t>
  </si>
  <si>
    <t xml:space="preserve">  发送指令：今日复盘</t>
  </si>
  <si>
    <t xml:space="preserve">  阅读报告，记录次日操作计划</t>
  </si>
  <si>
    <t>⚙️ 关键字段填写规范</t>
  </si>
  <si>
    <t xml:space="preserve">  • 类别：持仓 / 观望（文字必须一致）</t>
  </si>
  <si>
    <t xml:space="preserve">  • 代码：6位数字（如 002138）</t>
  </si>
  <si>
    <t xml:space="preserve">  • 成本价、当前价：保留2位小数</t>
  </si>
  <si>
    <t xml:space="preserve">  • 成交额：单位为【亿】（如 14.72）</t>
  </si>
  <si>
    <t xml:space="preserve">  • 主力净流入、散户净流入：单位为【万】（正数=净流入，负数=净流出）</t>
  </si>
  <si>
    <t xml:space="preserve">  • 总流入资金：可选填，单位为万</t>
  </si>
  <si>
    <t xml:space="preserve">  • 风险等级：🟢低 / 🟠中 / 🔴高</t>
  </si>
  <si>
    <t>💡 关键观察指标（如何识别派发/吸筹）</t>
  </si>
  <si>
    <t xml:space="preserve">  • 主力流入占比 &gt; 10% + 股价上涨 → 吸筹信号 🟢</t>
  </si>
  <si>
    <t xml:space="preserve">  • 主力流入占比 &lt; -5% + 散户流入占比 &gt; 5% → 派发信号 🔴</t>
  </si>
  <si>
    <t xml:space="preserve">  • 连续3日主力流入占比 &lt; 0 → 持续派发警告 🔴</t>
  </si>
  <si>
    <t xml:space="preserve">  • 高换手率(&gt;10%)+主力流出+散户流入 → 高位派发 🔴🔴</t>
  </si>
  <si>
    <t>📥 数据来源推荐</t>
  </si>
  <si>
    <t xml:space="preserve">  • 主力/散户资金流向：东方财富网（个股页底部 资金流向 栏目）</t>
  </si>
  <si>
    <t xml:space="preserve">  • 实时行情：同花顺、雪球</t>
  </si>
  <si>
    <t xml:space="preserve">  • 龙虎榜：证券之星</t>
  </si>
  <si>
    <t xml:space="preserve">  • 公司公告：上交所/深交所官网</t>
  </si>
  <si>
    <t>🚀 进阶用法</t>
  </si>
  <si>
    <t xml:space="preserve">  • 增加股票：直接在持仓汇总插入新行</t>
  </si>
  <si>
    <t xml:space="preserve">  • 卖出后：保留历史数据，将类别改为已清仓</t>
  </si>
  <si>
    <t xml:space="preserve">  • 每周末：用透视表分析周度资金流向趋势</t>
  </si>
  <si>
    <t xml:space="preserve">  • 月度复盘：对比主力占比与股价的相关性</t>
  </si>
  <si>
    <t>类别</t>
  </si>
  <si>
    <t>股票名称</t>
  </si>
  <si>
    <t>代码</t>
  </si>
  <si>
    <t>市场</t>
  </si>
  <si>
    <t>板块</t>
  </si>
  <si>
    <t>成本价</t>
  </si>
  <si>
    <t>持仓数量</t>
  </si>
  <si>
    <t>持仓市值</t>
  </si>
  <si>
    <t>组合占比%</t>
  </si>
  <si>
    <t>当前价</t>
  </si>
  <si>
    <t>浮盈/亏%</t>
  </si>
  <si>
    <t>浮盈/亏金额</t>
  </si>
  <si>
    <t>止盈位</t>
  </si>
  <si>
    <t>止损位</t>
  </si>
  <si>
    <t>距止盈%</t>
  </si>
  <si>
    <t>距止损%</t>
  </si>
  <si>
    <t>建仓日期</t>
  </si>
  <si>
    <t>关注理由</t>
  </si>
  <si>
    <t>风险等级</t>
  </si>
  <si>
    <t>备注</t>
  </si>
  <si>
    <t>持仓</t>
  </si>
  <si>
    <t>顺络电子</t>
  </si>
  <si>
    <t>002138</t>
  </si>
  <si>
    <t>深市</t>
  </si>
  <si>
    <t>电子元件/国产替代</t>
  </si>
  <si>
    <t>国内片式电感龙头，机构吸筹</t>
  </si>
  <si>
    <t>🟢</t>
  </si>
  <si>
    <t>Q1净利-23.71%需关注</t>
  </si>
  <si>
    <t>大唐电信</t>
  </si>
  <si>
    <t>600198</t>
  </si>
  <si>
    <t>沪市</t>
  </si>
  <si>
    <t>通信芯片/题材股</t>
  </si>
  <si>
    <t>安全芯片+特种通信</t>
  </si>
  <si>
    <t>🔴</t>
  </si>
  <si>
    <t>连续多年亏损，题材股属性强</t>
  </si>
  <si>
    <t>上海临港</t>
  </si>
  <si>
    <t>600848</t>
  </si>
  <si>
    <t>园区运营/自贸区</t>
  </si>
  <si>
    <t>上海临港国资龙头</t>
  </si>
  <si>
    <t>🟠</t>
  </si>
  <si>
    <t>Q1扣非-82%，基本面承压</t>
  </si>
  <si>
    <t>四川长虹</t>
  </si>
  <si>
    <t>600839</t>
  </si>
  <si>
    <t>家电/AI家电</t>
  </si>
  <si>
    <t>AI家电概念+回购</t>
  </si>
  <si>
    <t>Q1净利-71.5%</t>
  </si>
  <si>
    <t>观望</t>
  </si>
  <si>
    <t>双良节能</t>
  </si>
  <si>
    <t>光伏设备</t>
  </si>
  <si>
    <t>观望股票备注</t>
  </si>
  <si>
    <t>京能电力</t>
  </si>
  <si>
    <t>电力</t>
  </si>
  <si>
    <t>达实智能</t>
  </si>
  <si>
    <t>002421</t>
  </si>
  <si>
    <t>机器人</t>
  </si>
  <si>
    <t>📊 组合统计</t>
  </si>
  <si>
    <t>总持仓成本：</t>
  </si>
  <si>
    <t>总当前市值：</t>
  </si>
  <si>
    <t>总浮盈/亏：</t>
  </si>
  <si>
    <t>总收益率：</t>
  </si>
  <si>
    <t>日期</t>
  </si>
  <si>
    <t>股票代码</t>
  </si>
  <si>
    <t>收盘价</t>
  </si>
  <si>
    <t>涨跌%</t>
  </si>
  <si>
    <t>成交额(亿)</t>
  </si>
  <si>
    <t>换手率%</t>
  </si>
  <si>
    <t>总流入资金(万)</t>
  </si>
  <si>
    <t>主力净流入(万)</t>
  </si>
  <si>
    <t>主力流入占比%</t>
  </si>
  <si>
    <t>散户净流入(万)</t>
  </si>
  <si>
    <t>散户流入占比%</t>
  </si>
  <si>
    <t>MA5</t>
  </si>
  <si>
    <t>MA10</t>
  </si>
  <si>
    <t>MA20</t>
  </si>
  <si>
    <t>MA60</t>
  </si>
  <si>
    <t>RSI(14)</t>
  </si>
  <si>
    <t>当日异动/事件</t>
  </si>
  <si>
    <t>2026-05-13</t>
  </si>
  <si>
    <t>主力大额净流入1.86亿</t>
  </si>
  <si>
    <t>2026-05-14</t>
  </si>
  <si>
    <t>跌穿MA10，板块情绪冲击</t>
  </si>
  <si>
    <t>高换手疑似派发</t>
  </si>
  <si>
    <t>数据待补充</t>
  </si>
  <si>
    <t>散户接盘特征</t>
  </si>
  <si>
    <t>601929</t>
  </si>
  <si>
    <t>吉视传媒</t>
  </si>
  <si>
    <t>近5日主力净流出13.8亿</t>
  </si>
  <si>
    <t>2026-05-15</t>
  </si>
  <si>
    <t>⚠️大跌 -3.10%</t>
  </si>
  <si>
    <t>正常</t>
  </si>
  <si>
    <t>🆘🆘跌破止损 9.5</t>
  </si>
  <si>
    <t>2026-05-18</t>
  </si>
  <si>
    <t>操作日期</t>
  </si>
  <si>
    <t>操作类型</t>
  </si>
  <si>
    <t>数量</t>
  </si>
  <si>
    <t>成交价</t>
  </si>
  <si>
    <t>成交金额</t>
  </si>
  <si>
    <t>操作前持仓</t>
  </si>
  <si>
    <t>操作后持仓</t>
  </si>
  <si>
    <t>操作理由</t>
  </si>
  <si>
    <t>盈亏情况</t>
  </si>
  <si>
    <t>复盘备注</t>
  </si>
  <si>
    <t>（示例）</t>
  </si>
  <si>
    <t>买入</t>
  </si>
  <si>
    <t>突破MA60+主力流入</t>
  </si>
  <si>
    <t>待跟踪</t>
  </si>
  <si>
    <t>请删除本行示例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</si>
</sst>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"/>
    <numFmt numFmtId="177" formatCode="\¥#,##0.00;[Red]&quot;-¥&quot;#,##0.00"/>
  </numFmts>
  <fonts count="36">
    <font>
      <sz val="11"/>
      <color theme="1"/>
      <name val="Calibri"/>
      <charset val="1"/>
    </font>
    <font>
      <b/>
      <sz val="11"/>
      <color rgb="FFFFFFFF"/>
      <name val="Noto Sans CJK SC"/>
      <charset val="134"/>
    </font>
    <font>
      <i/>
      <sz val="10"/>
      <color rgb="FF999999"/>
      <name val="Noto Sans CJK SC"/>
      <charset val="134"/>
    </font>
    <font>
      <i/>
      <sz val="10"/>
      <color rgb="FF99999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name val="Noto Sans CJK SC"/>
      <charset val="134"/>
    </font>
    <font>
      <sz val="10"/>
      <name val="Calibri"/>
      <charset val="134"/>
    </font>
    <font>
      <sz val="10"/>
      <name val="Calibri"/>
      <charset val="1"/>
    </font>
    <font>
      <b/>
      <sz val="12"/>
      <color rgb="FF1F4E78"/>
      <name val="Noto Sans CJK SC"/>
      <charset val="134"/>
    </font>
    <font>
      <b/>
      <sz val="11"/>
      <name val="Noto Sans CJK SC"/>
      <charset val="134"/>
    </font>
    <font>
      <b/>
      <sz val="16"/>
      <color rgb="FF1F4E78"/>
      <name val="Cambria"/>
      <charset val="1"/>
    </font>
    <font>
      <i/>
      <sz val="10"/>
      <name val="Cambria"/>
      <charset val="1"/>
    </font>
    <font>
      <i/>
      <sz val="10"/>
      <name val="Noto Sans CJK SC"/>
      <charset val="134"/>
    </font>
    <font>
      <sz val="10"/>
      <name val="Cambria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2828"/>
        <bgColor rgb="FF993366"/>
      </patternFill>
    </fill>
    <fill>
      <patternFill patternType="solid">
        <fgColor rgb="FF2E7D32"/>
        <bgColor rgb="FF008000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5" fillId="0" borderId="0"/>
    <xf numFmtId="44" fontId="15" fillId="0" borderId="0"/>
    <xf numFmtId="9" fontId="15" fillId="0" borderId="0"/>
    <xf numFmtId="41" fontId="15" fillId="0" borderId="0"/>
    <xf numFmtId="42" fontId="15" fillId="0" borderId="0"/>
    <xf numFmtId="0" fontId="16" fillId="0" borderId="0">
      <alignment vertical="center"/>
    </xf>
    <xf numFmtId="0" fontId="17" fillId="0" borderId="0">
      <alignment vertical="center"/>
    </xf>
    <xf numFmtId="0" fontId="18" fillId="5" borderId="3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4">
      <alignment vertical="center"/>
    </xf>
    <xf numFmtId="0" fontId="23" fillId="0" borderId="4">
      <alignment vertical="center"/>
    </xf>
    <xf numFmtId="0" fontId="24" fillId="0" borderId="5">
      <alignment vertical="center"/>
    </xf>
    <xf numFmtId="0" fontId="24" fillId="0" borderId="0">
      <alignment vertical="center"/>
    </xf>
    <xf numFmtId="0" fontId="25" fillId="6" borderId="6">
      <alignment vertical="center"/>
    </xf>
    <xf numFmtId="0" fontId="26" fillId="7" borderId="7">
      <alignment vertical="center"/>
    </xf>
    <xf numFmtId="0" fontId="27" fillId="7" borderId="6">
      <alignment vertical="center"/>
    </xf>
    <xf numFmtId="0" fontId="28" fillId="8" borderId="8">
      <alignment vertical="center"/>
    </xf>
    <xf numFmtId="0" fontId="29" fillId="0" borderId="9">
      <alignment vertical="center"/>
    </xf>
    <xf numFmtId="0" fontId="30" fillId="0" borderId="10">
      <alignment vertical="center"/>
    </xf>
    <xf numFmtId="0" fontId="31" fillId="9" borderId="0">
      <alignment vertical="center"/>
    </xf>
    <xf numFmtId="0" fontId="32" fillId="10" borderId="0">
      <alignment vertical="center"/>
    </xf>
    <xf numFmtId="0" fontId="33" fillId="11" borderId="0">
      <alignment vertical="center"/>
    </xf>
    <xf numFmtId="0" fontId="34" fillId="12" borderId="0">
      <alignment vertical="center"/>
    </xf>
    <xf numFmtId="0" fontId="35" fillId="13" borderId="0">
      <alignment vertical="center"/>
    </xf>
    <xf numFmtId="0" fontId="35" fillId="14" borderId="0">
      <alignment vertical="center"/>
    </xf>
    <xf numFmtId="0" fontId="34" fillId="15" borderId="0">
      <alignment vertical="center"/>
    </xf>
    <xf numFmtId="0" fontId="34" fillId="16" borderId="0">
      <alignment vertical="center"/>
    </xf>
    <xf numFmtId="0" fontId="35" fillId="17" borderId="0">
      <alignment vertical="center"/>
    </xf>
    <xf numFmtId="0" fontId="35" fillId="18" borderId="0">
      <alignment vertical="center"/>
    </xf>
    <xf numFmtId="0" fontId="34" fillId="19" borderId="0">
      <alignment vertical="center"/>
    </xf>
    <xf numFmtId="0" fontId="34" fillId="20" borderId="0">
      <alignment vertical="center"/>
    </xf>
    <xf numFmtId="0" fontId="35" fillId="21" borderId="0">
      <alignment vertical="center"/>
    </xf>
    <xf numFmtId="0" fontId="35" fillId="22" borderId="0">
      <alignment vertical="center"/>
    </xf>
    <xf numFmtId="0" fontId="34" fillId="23" borderId="0">
      <alignment vertical="center"/>
    </xf>
    <xf numFmtId="0" fontId="34" fillId="24" borderId="0">
      <alignment vertical="center"/>
    </xf>
    <xf numFmtId="0" fontId="35" fillId="25" borderId="0">
      <alignment vertical="center"/>
    </xf>
    <xf numFmtId="0" fontId="35" fillId="26" borderId="0">
      <alignment vertical="center"/>
    </xf>
    <xf numFmtId="0" fontId="34" fillId="27" borderId="0">
      <alignment vertical="center"/>
    </xf>
    <xf numFmtId="0" fontId="34" fillId="28" borderId="0">
      <alignment vertical="center"/>
    </xf>
    <xf numFmtId="0" fontId="35" fillId="29" borderId="0">
      <alignment vertical="center"/>
    </xf>
    <xf numFmtId="0" fontId="35" fillId="30" borderId="0">
      <alignment vertical="center"/>
    </xf>
    <xf numFmtId="0" fontId="34" fillId="31" borderId="0">
      <alignment vertical="center"/>
    </xf>
    <xf numFmtId="0" fontId="34" fillId="32" borderId="0">
      <alignment vertical="center"/>
    </xf>
    <xf numFmtId="0" fontId="35" fillId="33" borderId="0">
      <alignment vertical="center"/>
    </xf>
    <xf numFmtId="0" fontId="35" fillId="34" borderId="0">
      <alignment vertical="center"/>
    </xf>
    <xf numFmtId="0" fontId="34" fillId="35" borderId="0">
      <alignment vertical="center"/>
    </xf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176" fontId="0" fillId="0" borderId="0" xfId="0" applyNumberFormat="1"/>
    <xf numFmtId="177" fontId="0" fillId="0" borderId="0" xfId="0" applyNumberFormat="1"/>
    <xf numFmtId="10" fontId="0" fillId="0" borderId="0" xfId="0" applyNumberForma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6" fillId="0" borderId="0" xfId="0" applyFont="1"/>
    <xf numFmtId="0" fontId="5" fillId="0" borderId="2" xfId="0" applyFon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99999"/>
      <rgbColor rgb="00003366"/>
      <rgbColor rgb="002E7D32"/>
      <rgbColor rgb="00003300"/>
      <rgbColor rgb="00333300"/>
      <rgbColor rgb="00C62828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7"/>
  <sheetViews>
    <sheetView topLeftCell="A63" workbookViewId="0">
      <selection activeCell="A1" sqref="A1"/>
    </sheetView>
  </sheetViews>
  <sheetFormatPr defaultColWidth="8.6796875" defaultRowHeight="16.8"/>
  <cols>
    <col min="1" max="1" width="80" customWidth="1"/>
  </cols>
  <sheetData>
    <row r="1" ht="24" customHeight="1" spans="1:1">
      <c r="A1" s="19" t="s">
        <v>0</v>
      </c>
    </row>
    <row r="2" spans="1:1">
      <c r="A2" s="20"/>
    </row>
    <row r="3" ht="17.6" customHeight="1" spans="1:1">
      <c r="A3" s="14" t="s">
        <v>1</v>
      </c>
    </row>
    <row r="4" spans="1:1">
      <c r="A4" s="21" t="s">
        <v>2</v>
      </c>
    </row>
    <row r="5" spans="1:1">
      <c r="A5" s="20"/>
    </row>
    <row r="6" ht="18" customHeight="1" spans="1:1">
      <c r="A6" s="14" t="s">
        <v>3</v>
      </c>
    </row>
    <row r="7" spans="1:1">
      <c r="A7" s="20"/>
    </row>
    <row r="8" spans="1:1">
      <c r="A8" s="22" t="s">
        <v>4</v>
      </c>
    </row>
    <row r="9" spans="1:1">
      <c r="A9" s="21" t="s">
        <v>5</v>
      </c>
    </row>
    <row r="10" spans="1:1">
      <c r="A10" s="21" t="s">
        <v>6</v>
      </c>
    </row>
    <row r="11" spans="1:1">
      <c r="A11" s="21" t="s">
        <v>7</v>
      </c>
    </row>
    <row r="12" spans="1:1">
      <c r="A12" s="20"/>
    </row>
    <row r="13" spans="1:1">
      <c r="A13" s="22" t="s">
        <v>8</v>
      </c>
    </row>
    <row r="14" spans="1:1">
      <c r="A14" s="21" t="s">
        <v>9</v>
      </c>
    </row>
    <row r="15" spans="1:1">
      <c r="A15" s="21" t="s">
        <v>10</v>
      </c>
    </row>
    <row r="16" spans="1:1">
      <c r="A16" s="21" t="s">
        <v>11</v>
      </c>
    </row>
    <row r="17" spans="1:1">
      <c r="A17" s="20"/>
    </row>
    <row r="18" spans="1:1">
      <c r="A18" s="22" t="s">
        <v>12</v>
      </c>
    </row>
    <row r="19" spans="1:1">
      <c r="A19" s="21" t="s">
        <v>13</v>
      </c>
    </row>
    <row r="20" spans="1:1">
      <c r="A20" s="21" t="s">
        <v>14</v>
      </c>
    </row>
    <row r="21" spans="1:1">
      <c r="A21" s="20"/>
    </row>
    <row r="22" ht="18" customHeight="1" spans="1:1">
      <c r="A22" s="14" t="s">
        <v>15</v>
      </c>
    </row>
    <row r="23" spans="1:1">
      <c r="A23" s="20"/>
    </row>
    <row r="24" spans="1:1">
      <c r="A24" s="22" t="s">
        <v>16</v>
      </c>
    </row>
    <row r="25" spans="1:1">
      <c r="A25" s="22" t="s">
        <v>17</v>
      </c>
    </row>
    <row r="26" spans="1:1">
      <c r="A26" s="21" t="s">
        <v>18</v>
      </c>
    </row>
    <row r="27" spans="1:1">
      <c r="A27" s="22" t="s">
        <v>17</v>
      </c>
    </row>
    <row r="28" spans="1:1">
      <c r="A28" s="21" t="s">
        <v>19</v>
      </c>
    </row>
    <row r="29" spans="1:1">
      <c r="A29" s="22" t="s">
        <v>17</v>
      </c>
    </row>
    <row r="30" spans="1:1">
      <c r="A30" s="21" t="s">
        <v>20</v>
      </c>
    </row>
    <row r="31" spans="1:1">
      <c r="A31" s="22" t="s">
        <v>17</v>
      </c>
    </row>
    <row r="32" spans="1:1">
      <c r="A32" s="21" t="s">
        <v>21</v>
      </c>
    </row>
    <row r="33" spans="1:1">
      <c r="A33" s="22" t="s">
        <v>17</v>
      </c>
    </row>
    <row r="34" spans="1:1">
      <c r="A34" s="21" t="s">
        <v>22</v>
      </c>
    </row>
    <row r="35" spans="1:1">
      <c r="A35" s="22" t="s">
        <v>17</v>
      </c>
    </row>
    <row r="36" spans="1:1">
      <c r="A36" s="21" t="s">
        <v>23</v>
      </c>
    </row>
    <row r="37" spans="1:1">
      <c r="A37" s="20"/>
    </row>
    <row r="38" ht="17.6" customHeight="1" spans="1:1">
      <c r="A38" s="14" t="s">
        <v>24</v>
      </c>
    </row>
    <row r="39" spans="1:1">
      <c r="A39" s="20"/>
    </row>
    <row r="40" spans="1:1">
      <c r="A40" s="23" t="s">
        <v>25</v>
      </c>
    </row>
    <row r="41" spans="1:1">
      <c r="A41" s="23" t="s">
        <v>26</v>
      </c>
    </row>
    <row r="42" spans="1:1">
      <c r="A42" s="23" t="s">
        <v>27</v>
      </c>
    </row>
    <row r="43" spans="1:1">
      <c r="A43" s="23" t="s">
        <v>28</v>
      </c>
    </row>
    <row r="44" spans="1:1">
      <c r="A44" s="23" t="s">
        <v>29</v>
      </c>
    </row>
    <row r="45" spans="1:1">
      <c r="A45" s="23" t="s">
        <v>30</v>
      </c>
    </row>
    <row r="46" spans="1:1">
      <c r="A46" s="23" t="s">
        <v>31</v>
      </c>
    </row>
    <row r="47" spans="1:1">
      <c r="A47" s="20"/>
    </row>
    <row r="48" ht="18" customHeight="1" spans="1:1">
      <c r="A48" s="14" t="s">
        <v>32</v>
      </c>
    </row>
    <row r="49" spans="1:1">
      <c r="A49" s="20"/>
    </row>
    <row r="50" spans="1:1">
      <c r="A50" s="23" t="s">
        <v>33</v>
      </c>
    </row>
    <row r="51" spans="1:1">
      <c r="A51" s="23" t="s">
        <v>34</v>
      </c>
    </row>
    <row r="52" spans="1:1">
      <c r="A52" s="23" t="s">
        <v>35</v>
      </c>
    </row>
    <row r="53" spans="1:1">
      <c r="A53" s="23" t="s">
        <v>36</v>
      </c>
    </row>
    <row r="54" spans="1:1">
      <c r="A54" s="20"/>
    </row>
    <row r="55" ht="17.6" customHeight="1" spans="1:1">
      <c r="A55" s="14" t="s">
        <v>37</v>
      </c>
    </row>
    <row r="56" spans="1:1">
      <c r="A56" s="20"/>
    </row>
    <row r="57" spans="1:1">
      <c r="A57" s="23" t="s">
        <v>38</v>
      </c>
    </row>
    <row r="58" spans="1:1">
      <c r="A58" s="23" t="s">
        <v>39</v>
      </c>
    </row>
    <row r="59" spans="1:1">
      <c r="A59" s="23" t="s">
        <v>40</v>
      </c>
    </row>
    <row r="60" spans="1:1">
      <c r="A60" s="23" t="s">
        <v>41</v>
      </c>
    </row>
    <row r="61" spans="1:1">
      <c r="A61" s="20"/>
    </row>
    <row r="62" ht="17.6" customHeight="1" spans="1:1">
      <c r="A62" s="14" t="s">
        <v>42</v>
      </c>
    </row>
    <row r="63" spans="1:1">
      <c r="A63" s="20"/>
    </row>
    <row r="64" spans="1:1">
      <c r="A64" s="23" t="s">
        <v>43</v>
      </c>
    </row>
    <row r="65" spans="1:1">
      <c r="A65" s="23" t="s">
        <v>44</v>
      </c>
    </row>
    <row r="66" spans="1:1">
      <c r="A66" s="23" t="s">
        <v>45</v>
      </c>
    </row>
    <row r="67" spans="1:1">
      <c r="A67" s="23" t="s">
        <v>46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5"/>
  <sheetViews>
    <sheetView workbookViewId="0">
      <pane ySplit="1" topLeftCell="A2" activePane="bottomLeft" state="frozen"/>
      <selection/>
      <selection pane="bottomLeft" activeCell="E8" sqref="E8"/>
    </sheetView>
  </sheetViews>
  <sheetFormatPr defaultColWidth="8.6796875" defaultRowHeight="16.8"/>
  <cols>
    <col min="1" max="1" width="8" customWidth="1"/>
    <col min="2" max="2" width="14" customWidth="1"/>
    <col min="3" max="3" width="10" customWidth="1"/>
    <col min="4" max="4" width="8" customWidth="1"/>
    <col min="5" max="5" width="18" customWidth="1"/>
    <col min="6" max="7" width="10" customWidth="1"/>
    <col min="8" max="8" width="14" customWidth="1"/>
    <col min="9" max="9" width="11" customWidth="1"/>
    <col min="10" max="10" width="10" customWidth="1"/>
    <col min="11" max="11" width="11" customWidth="1"/>
    <col min="12" max="12" width="13" customWidth="1"/>
    <col min="13" max="14" width="10" customWidth="1"/>
    <col min="15" max="16" width="11" customWidth="1"/>
    <col min="17" max="17" width="12" customWidth="1"/>
    <col min="18" max="18" width="25" customWidth="1"/>
    <col min="19" max="19" width="10" customWidth="1"/>
    <col min="20" max="20" width="25" customWidth="1"/>
  </cols>
  <sheetData>
    <row r="1" ht="17" customHeight="1" spans="1:20">
      <c r="A1" s="11" t="s">
        <v>47</v>
      </c>
      <c r="B1" s="11" t="s">
        <v>48</v>
      </c>
      <c r="C1" s="11" t="s">
        <v>49</v>
      </c>
      <c r="D1" s="11" t="s">
        <v>50</v>
      </c>
      <c r="E1" s="11" t="s">
        <v>51</v>
      </c>
      <c r="F1" s="11" t="s">
        <v>52</v>
      </c>
      <c r="G1" s="11" t="s">
        <v>53</v>
      </c>
      <c r="H1" s="11" t="s">
        <v>54</v>
      </c>
      <c r="I1" s="11" t="s">
        <v>55</v>
      </c>
      <c r="J1" s="11" t="s">
        <v>56</v>
      </c>
      <c r="K1" s="11" t="s">
        <v>57</v>
      </c>
      <c r="L1" s="11" t="s">
        <v>58</v>
      </c>
      <c r="M1" s="11" t="s">
        <v>59</v>
      </c>
      <c r="N1" s="11" t="s">
        <v>60</v>
      </c>
      <c r="O1" s="11" t="s">
        <v>61</v>
      </c>
      <c r="P1" s="11" t="s">
        <v>62</v>
      </c>
      <c r="Q1" s="11" t="s">
        <v>63</v>
      </c>
      <c r="R1" s="11" t="s">
        <v>64</v>
      </c>
      <c r="S1" s="11" t="s">
        <v>65</v>
      </c>
      <c r="T1" s="11" t="s">
        <v>66</v>
      </c>
    </row>
    <row r="2" spans="1:20">
      <c r="A2" s="8" t="s">
        <v>67</v>
      </c>
      <c r="B2" s="8" t="s">
        <v>68</v>
      </c>
      <c r="C2" s="7" t="s">
        <v>69</v>
      </c>
      <c r="D2" s="8" t="s">
        <v>70</v>
      </c>
      <c r="E2" s="8" t="s">
        <v>71</v>
      </c>
      <c r="F2" s="8">
        <v>34.987</v>
      </c>
      <c r="G2" s="8">
        <v>200</v>
      </c>
      <c r="H2" s="8">
        <f>IFERROR(F2*G2,"")</f>
        <v>6997.4</v>
      </c>
      <c r="I2" s="9">
        <f>IFERROR(H2/SUM($H$2:$H$5),"")</f>
        <v>0.190669525955677</v>
      </c>
      <c r="J2" s="8">
        <v>39.77</v>
      </c>
      <c r="K2" s="9">
        <f>IFERROR((J2-F2)/F2,"")</f>
        <v>0.136707920084603</v>
      </c>
      <c r="L2" s="8">
        <f>IFERROR((J2-F2)*G2,"")</f>
        <v>956.6</v>
      </c>
      <c r="M2" s="8"/>
      <c r="N2" s="8"/>
      <c r="O2" s="9">
        <f>IFERROR((M2-J2)/J2,"")</f>
        <v>-1</v>
      </c>
      <c r="P2" s="9">
        <f>IFERROR((J2-N2)/J2,"")</f>
        <v>1</v>
      </c>
      <c r="Q2" s="8"/>
      <c r="R2" s="8" t="s">
        <v>72</v>
      </c>
      <c r="S2" s="7" t="s">
        <v>73</v>
      </c>
      <c r="T2" s="7" t="s">
        <v>74</v>
      </c>
    </row>
    <row r="3" spans="1:20">
      <c r="A3" s="8" t="s">
        <v>67</v>
      </c>
      <c r="B3" s="8" t="s">
        <v>75</v>
      </c>
      <c r="C3" s="7" t="s">
        <v>76</v>
      </c>
      <c r="D3" s="8" t="s">
        <v>77</v>
      </c>
      <c r="E3" s="8" t="s">
        <v>78</v>
      </c>
      <c r="F3" s="8">
        <v>7.973</v>
      </c>
      <c r="G3" s="8">
        <v>200</v>
      </c>
      <c r="H3" s="8">
        <f>IFERROR(F3*G3,"")</f>
        <v>1594.6</v>
      </c>
      <c r="I3" s="9">
        <f>IFERROR(H3/SUM($H$2:$H$5),"")</f>
        <v>0.0434506568280966</v>
      </c>
      <c r="J3" s="8">
        <v>9.29</v>
      </c>
      <c r="K3" s="9">
        <f>IFERROR((J3-F3)/F3,"")</f>
        <v>0.16518249090681</v>
      </c>
      <c r="L3" s="8">
        <f>IFERROR((J3-F3)*G3,"")</f>
        <v>263.4</v>
      </c>
      <c r="M3" s="8"/>
      <c r="N3" s="8"/>
      <c r="O3" s="9">
        <f>IFERROR((M3-J3)/J3,"")</f>
        <v>-1</v>
      </c>
      <c r="P3" s="9">
        <f>IFERROR((J3-N3)/J3,"")</f>
        <v>1</v>
      </c>
      <c r="Q3" s="8"/>
      <c r="R3" s="8" t="s">
        <v>79</v>
      </c>
      <c r="S3" s="7" t="s">
        <v>80</v>
      </c>
      <c r="T3" s="8" t="s">
        <v>81</v>
      </c>
    </row>
    <row r="4" spans="1:20">
      <c r="A4" s="8" t="s">
        <v>67</v>
      </c>
      <c r="B4" s="8" t="s">
        <v>82</v>
      </c>
      <c r="C4" s="7" t="s">
        <v>83</v>
      </c>
      <c r="D4" s="8" t="s">
        <v>77</v>
      </c>
      <c r="E4" s="8" t="s">
        <v>84</v>
      </c>
      <c r="F4" s="8">
        <v>14.02</v>
      </c>
      <c r="G4" s="8">
        <v>1120</v>
      </c>
      <c r="H4" s="8">
        <f>IFERROR(F4*G4,"")</f>
        <v>15702.4</v>
      </c>
      <c r="I4" s="9">
        <f>IFERROR(H4/SUM($H$2:$H$5),"")</f>
        <v>0.427868803322152</v>
      </c>
      <c r="J4" s="8">
        <v>8.78</v>
      </c>
      <c r="K4" s="9">
        <f>IFERROR((J4-F4)/F4,"")</f>
        <v>-0.373751783166904</v>
      </c>
      <c r="L4" s="8">
        <f>IFERROR((J4-F4)*G4,"")</f>
        <v>-5868.8</v>
      </c>
      <c r="M4" s="8"/>
      <c r="N4" s="8"/>
      <c r="O4" s="9">
        <f>IFERROR((M4-J4)/J4,"")</f>
        <v>-1</v>
      </c>
      <c r="P4" s="9">
        <f>IFERROR((J4-N4)/J4,"")</f>
        <v>1</v>
      </c>
      <c r="Q4" s="8"/>
      <c r="R4" s="8" t="s">
        <v>85</v>
      </c>
      <c r="S4" s="7" t="s">
        <v>86</v>
      </c>
      <c r="T4" s="7" t="s">
        <v>87</v>
      </c>
    </row>
    <row r="5" spans="1:20">
      <c r="A5" s="8" t="s">
        <v>67</v>
      </c>
      <c r="B5" s="8" t="s">
        <v>88</v>
      </c>
      <c r="C5" s="7" t="s">
        <v>89</v>
      </c>
      <c r="D5" s="8" t="s">
        <v>77</v>
      </c>
      <c r="E5" s="8" t="s">
        <v>90</v>
      </c>
      <c r="F5" s="8">
        <v>11.277</v>
      </c>
      <c r="G5" s="8">
        <v>1100</v>
      </c>
      <c r="H5" s="8">
        <f>IFERROR(F5*G5,"")</f>
        <v>12404.7</v>
      </c>
      <c r="I5" s="9">
        <f>IFERROR(H5/SUM($H$2:$H$5),"")</f>
        <v>0.338011013894074</v>
      </c>
      <c r="J5" s="8">
        <v>8.54</v>
      </c>
      <c r="K5" s="9">
        <f>IFERROR((J5-F5)/F5,"")</f>
        <v>-0.242706393544382</v>
      </c>
      <c r="L5" s="8">
        <f>IFERROR((J5-F5)*G5,"")</f>
        <v>-3010.7</v>
      </c>
      <c r="M5" s="8"/>
      <c r="N5" s="8"/>
      <c r="O5" s="9">
        <f>IFERROR((M5-J5)/J5,"")</f>
        <v>-1</v>
      </c>
      <c r="P5" s="9">
        <f>IFERROR((J5-N5)/J5,"")</f>
        <v>1</v>
      </c>
      <c r="Q5" s="8"/>
      <c r="R5" s="7" t="s">
        <v>91</v>
      </c>
      <c r="S5" s="7" t="s">
        <v>86</v>
      </c>
      <c r="T5" s="7" t="s">
        <v>92</v>
      </c>
    </row>
    <row r="6" spans="1:20">
      <c r="A6" s="8" t="s">
        <v>93</v>
      </c>
      <c r="B6" s="8" t="s">
        <v>94</v>
      </c>
      <c r="C6" s="7">
        <v>600481</v>
      </c>
      <c r="D6" s="8" t="s">
        <v>77</v>
      </c>
      <c r="E6" s="8" t="s">
        <v>95</v>
      </c>
      <c r="F6" s="8"/>
      <c r="G6" s="8">
        <v>0</v>
      </c>
      <c r="H6" s="8">
        <f>IFERROR(F6*G6,"")</f>
        <v>0</v>
      </c>
      <c r="I6" s="8">
        <v>0</v>
      </c>
      <c r="J6" s="8">
        <v>7.21</v>
      </c>
      <c r="K6" s="9" t="str">
        <f t="array" ref="K6">IFERROR((J6-J8F7)/F6,"")</f>
        <v/>
      </c>
      <c r="L6" s="8">
        <f>IFERROR((J6-F6)*G6,"")</f>
        <v>0</v>
      </c>
      <c r="M6" s="8"/>
      <c r="N6" s="8"/>
      <c r="O6" s="9">
        <f>IFERROR((M6-J6)/J6,"")</f>
        <v>-1</v>
      </c>
      <c r="P6" s="9">
        <f>IFERROR((J6-N6)/J6,"")</f>
        <v>1</v>
      </c>
      <c r="Q6" s="8"/>
      <c r="R6" s="8" t="s">
        <v>64</v>
      </c>
      <c r="S6" s="7" t="s">
        <v>73</v>
      </c>
      <c r="T6" s="8" t="s">
        <v>96</v>
      </c>
    </row>
    <row r="7" spans="1:20">
      <c r="A7" s="8" t="s">
        <v>93</v>
      </c>
      <c r="B7" s="8" t="s">
        <v>97</v>
      </c>
      <c r="C7" s="7">
        <v>600578</v>
      </c>
      <c r="D7" s="8" t="s">
        <v>77</v>
      </c>
      <c r="E7" s="8" t="s">
        <v>98</v>
      </c>
      <c r="F7" s="8"/>
      <c r="G7" s="8">
        <v>0</v>
      </c>
      <c r="H7" s="8">
        <v>0</v>
      </c>
      <c r="I7" s="8">
        <v>0</v>
      </c>
      <c r="J7" s="8">
        <v>8.27</v>
      </c>
      <c r="K7" s="9"/>
      <c r="L7" s="8"/>
      <c r="M7" s="8"/>
      <c r="N7" s="8"/>
      <c r="O7" s="9"/>
      <c r="P7" s="9"/>
      <c r="Q7" s="8"/>
      <c r="R7" s="8"/>
      <c r="S7" s="7"/>
      <c r="T7" s="8"/>
    </row>
    <row r="8" spans="1:20">
      <c r="A8" s="8" t="s">
        <v>93</v>
      </c>
      <c r="B8" s="8" t="s">
        <v>99</v>
      </c>
      <c r="C8" s="24" t="s">
        <v>100</v>
      </c>
      <c r="D8" s="8" t="s">
        <v>70</v>
      </c>
      <c r="E8" s="8" t="s">
        <v>101</v>
      </c>
      <c r="F8" s="8"/>
      <c r="G8" s="8">
        <v>0</v>
      </c>
      <c r="H8" s="8">
        <v>0</v>
      </c>
      <c r="I8" s="8">
        <v>0</v>
      </c>
      <c r="J8" s="8">
        <v>3.88</v>
      </c>
      <c r="K8" s="9"/>
      <c r="L8" s="8"/>
      <c r="M8" s="8"/>
      <c r="N8" s="8"/>
      <c r="O8" s="9"/>
      <c r="P8" s="9"/>
      <c r="Q8" s="8"/>
      <c r="R8" s="8"/>
      <c r="S8" s="7"/>
      <c r="T8" s="8"/>
    </row>
    <row r="9" spans="1:20">
      <c r="D9" s="12"/>
      <c r="E9" s="12"/>
      <c r="F9" s="13"/>
      <c r="G9" s="12"/>
      <c r="H9" s="12"/>
    </row>
    <row r="11" ht="17.6" customHeight="1" spans="1:20">
      <c r="A11" s="14" t="s">
        <v>102</v>
      </c>
    </row>
    <row r="12" spans="1:20">
      <c r="A12" s="15" t="s">
        <v>103</v>
      </c>
      <c r="B12" s="16">
        <f>SUM(H2:H5)</f>
        <v>36699.1</v>
      </c>
    </row>
    <row r="13" spans="1:20">
      <c r="A13" s="15" t="s">
        <v>104</v>
      </c>
      <c r="B13" s="16">
        <f>SUMPRODUCT(J2:J5,G2:G5)</f>
        <v>29039.6</v>
      </c>
    </row>
    <row r="14" ht="17" customHeight="1" spans="1:20">
      <c r="A14" s="15" t="s">
        <v>105</v>
      </c>
      <c r="B14" s="17">
        <f>B13-B12</f>
        <v>-7659.5</v>
      </c>
    </row>
    <row r="15" spans="1:20">
      <c r="A15" s="15" t="s">
        <v>106</v>
      </c>
      <c r="B15" s="18">
        <f>IFERROR(B14/B12,"")</f>
        <v>-0.208710840320335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tabSelected="1" workbookViewId="0">
      <pane ySplit="1" topLeftCell="A2" activePane="bottomLeft" state="frozen"/>
      <selection/>
      <selection pane="bottomLeft" activeCell="D24" sqref="D24"/>
    </sheetView>
  </sheetViews>
  <sheetFormatPr defaultColWidth="8.6796875" defaultRowHeight="16.8"/>
  <cols>
    <col min="1" max="1" width="12" customWidth="1"/>
    <col min="2" max="2" width="10" customWidth="1"/>
    <col min="3" max="3" width="12" customWidth="1"/>
    <col min="4" max="4" width="10" customWidth="1"/>
    <col min="5" max="5" width="9" customWidth="1"/>
    <col min="6" max="6" width="11" customWidth="1"/>
    <col min="7" max="7" width="10" customWidth="1"/>
    <col min="8" max="9" width="14" customWidth="1"/>
    <col min="10" max="10" width="13" customWidth="1"/>
    <col min="11" max="11" width="14" customWidth="1"/>
    <col min="12" max="12" width="13" customWidth="1"/>
    <col min="13" max="16" width="9" customWidth="1"/>
    <col min="17" max="17" width="10" customWidth="1"/>
    <col min="18" max="18" width="30" customWidth="1"/>
  </cols>
  <sheetData>
    <row r="1" ht="17" customHeight="1" spans="1:18">
      <c r="A1" s="5" t="s">
        <v>107</v>
      </c>
      <c r="B1" s="5" t="s">
        <v>108</v>
      </c>
      <c r="C1" s="5" t="s">
        <v>48</v>
      </c>
      <c r="D1" s="5" t="s">
        <v>109</v>
      </c>
      <c r="E1" s="5" t="s">
        <v>110</v>
      </c>
      <c r="F1" s="5" t="s">
        <v>111</v>
      </c>
      <c r="G1" s="5" t="s">
        <v>112</v>
      </c>
      <c r="H1" s="5" t="s">
        <v>113</v>
      </c>
      <c r="I1" s="5" t="s">
        <v>114</v>
      </c>
      <c r="J1" s="5" t="s">
        <v>115</v>
      </c>
      <c r="K1" s="5" t="s">
        <v>116</v>
      </c>
      <c r="L1" s="5" t="s">
        <v>117</v>
      </c>
      <c r="M1" s="6" t="s">
        <v>118</v>
      </c>
      <c r="N1" s="6" t="s">
        <v>119</v>
      </c>
      <c r="O1" s="6" t="s">
        <v>120</v>
      </c>
      <c r="P1" s="6" t="s">
        <v>121</v>
      </c>
      <c r="Q1" s="6" t="s">
        <v>122</v>
      </c>
      <c r="R1" s="5" t="s">
        <v>123</v>
      </c>
    </row>
    <row r="2" spans="1:18">
      <c r="A2" s="7" t="s">
        <v>124</v>
      </c>
      <c r="B2" s="7" t="s">
        <v>69</v>
      </c>
      <c r="C2" s="8" t="s">
        <v>68</v>
      </c>
      <c r="D2" s="8">
        <v>38.18</v>
      </c>
      <c r="E2" s="8">
        <v>2.63</v>
      </c>
      <c r="F2" s="8">
        <v>14.72</v>
      </c>
      <c r="G2" s="8">
        <v>5.12</v>
      </c>
      <c r="H2" s="8"/>
      <c r="I2" s="8">
        <v>18600</v>
      </c>
      <c r="J2" s="9">
        <f t="shared" ref="J2:J7" si="0">IFERROR(I2/(F2*10000),"")</f>
        <v>0.126358695652174</v>
      </c>
      <c r="K2" s="8">
        <v>-15700</v>
      </c>
      <c r="L2" s="9">
        <f t="shared" ref="L2:L7" si="1">IFERROR(K2/(F2*10000),"")</f>
        <v>-0.106657608695652</v>
      </c>
      <c r="M2" s="8"/>
      <c r="N2" s="8"/>
      <c r="O2" s="8"/>
      <c r="P2" s="8"/>
      <c r="Q2" s="8"/>
      <c r="R2" s="8" t="s">
        <v>125</v>
      </c>
    </row>
    <row r="3" spans="1:18">
      <c r="A3" s="7" t="s">
        <v>126</v>
      </c>
      <c r="B3" s="7" t="s">
        <v>69</v>
      </c>
      <c r="C3" s="8" t="s">
        <v>68</v>
      </c>
      <c r="D3" s="8">
        <v>36.77</v>
      </c>
      <c r="E3" s="8">
        <v>-3.69</v>
      </c>
      <c r="F3" s="8">
        <v>11.44</v>
      </c>
      <c r="G3" s="8">
        <v>4.04</v>
      </c>
      <c r="H3" s="8">
        <v>-5085</v>
      </c>
      <c r="I3" s="8"/>
      <c r="J3" s="9">
        <f t="shared" si="0"/>
        <v>0</v>
      </c>
      <c r="K3" s="8"/>
      <c r="L3" s="9">
        <f t="shared" si="1"/>
        <v>0</v>
      </c>
      <c r="M3" s="8"/>
      <c r="N3" s="8"/>
      <c r="O3" s="8"/>
      <c r="P3" s="8"/>
      <c r="Q3" s="8"/>
      <c r="R3" s="8" t="s">
        <v>127</v>
      </c>
    </row>
    <row r="4" spans="1:18">
      <c r="A4" s="10">
        <v>46155</v>
      </c>
      <c r="B4" s="7" t="s">
        <v>76</v>
      </c>
      <c r="C4" s="8" t="s">
        <v>75</v>
      </c>
      <c r="D4" s="8">
        <v>10.16</v>
      </c>
      <c r="E4" s="8">
        <v>0.59</v>
      </c>
      <c r="F4" s="8">
        <v>14.97</v>
      </c>
      <c r="G4" s="8">
        <v>11.37</v>
      </c>
      <c r="H4" s="8"/>
      <c r="I4" s="8">
        <v>1947</v>
      </c>
      <c r="J4" s="9">
        <f t="shared" si="0"/>
        <v>0.0130060120240481</v>
      </c>
      <c r="K4" s="8">
        <v>834</v>
      </c>
      <c r="L4" s="9">
        <f t="shared" si="1"/>
        <v>0.00557114228456914</v>
      </c>
      <c r="M4" s="8"/>
      <c r="N4" s="8"/>
      <c r="O4" s="8"/>
      <c r="P4" s="8"/>
      <c r="Q4" s="8"/>
      <c r="R4" s="8" t="s">
        <v>128</v>
      </c>
    </row>
    <row r="5" spans="1:18">
      <c r="A5" s="7" t="s">
        <v>124</v>
      </c>
      <c r="B5" s="7" t="s">
        <v>83</v>
      </c>
      <c r="C5" s="8" t="s">
        <v>82</v>
      </c>
      <c r="D5" s="8"/>
      <c r="E5" s="8"/>
      <c r="F5" s="8"/>
      <c r="G5" s="8"/>
      <c r="H5" s="8"/>
      <c r="I5" s="8"/>
      <c r="J5" s="9" t="str">
        <f t="shared" si="0"/>
        <v/>
      </c>
      <c r="K5" s="8"/>
      <c r="L5" s="9" t="str">
        <f t="shared" si="1"/>
        <v/>
      </c>
      <c r="M5" s="8"/>
      <c r="N5" s="8"/>
      <c r="O5" s="8"/>
      <c r="P5" s="8"/>
      <c r="Q5" s="8"/>
      <c r="R5" s="8" t="s">
        <v>129</v>
      </c>
    </row>
    <row r="6" spans="1:18">
      <c r="A6" s="7" t="s">
        <v>124</v>
      </c>
      <c r="B6" s="7" t="s">
        <v>89</v>
      </c>
      <c r="C6" s="8" t="s">
        <v>88</v>
      </c>
      <c r="D6" s="8">
        <v>8.87</v>
      </c>
      <c r="E6" s="8">
        <v>-0.45</v>
      </c>
      <c r="F6" s="8">
        <v>7.79</v>
      </c>
      <c r="G6" s="8">
        <v>1.91</v>
      </c>
      <c r="H6" s="8"/>
      <c r="I6" s="8">
        <v>-3602</v>
      </c>
      <c r="J6" s="9">
        <f t="shared" si="0"/>
        <v>-0.0462387676508344</v>
      </c>
      <c r="K6" s="8">
        <v>4406</v>
      </c>
      <c r="L6" s="9">
        <f t="shared" si="1"/>
        <v>0.0565596919127086</v>
      </c>
      <c r="M6" s="8"/>
      <c r="N6" s="8"/>
      <c r="O6" s="8"/>
      <c r="P6" s="8"/>
      <c r="Q6" s="8"/>
      <c r="R6" s="8" t="s">
        <v>130</v>
      </c>
    </row>
    <row r="7" spans="1:18">
      <c r="A7" s="7" t="s">
        <v>124</v>
      </c>
      <c r="B7" s="7" t="s">
        <v>131</v>
      </c>
      <c r="C7" s="8" t="s">
        <v>132</v>
      </c>
      <c r="D7" s="8"/>
      <c r="E7" s="8"/>
      <c r="F7" s="8"/>
      <c r="G7" s="8"/>
      <c r="H7" s="8"/>
      <c r="I7" s="8">
        <v>3696</v>
      </c>
      <c r="J7" s="9" t="str">
        <f t="shared" si="0"/>
        <v/>
      </c>
      <c r="K7" s="8">
        <v>-684</v>
      </c>
      <c r="L7" s="9" t="str">
        <f t="shared" si="1"/>
        <v/>
      </c>
      <c r="M7" s="8"/>
      <c r="N7" s="8"/>
      <c r="O7" s="8"/>
      <c r="P7" s="8"/>
      <c r="Q7" s="8"/>
      <c r="R7" s="8" t="s">
        <v>133</v>
      </c>
    </row>
    <row r="8" spans="1:18">
      <c r="A8" t="s">
        <v>134</v>
      </c>
      <c r="B8" t="s">
        <v>69</v>
      </c>
      <c r="C8" t="s">
        <v>68</v>
      </c>
      <c r="D8">
        <v>35.63</v>
      </c>
      <c r="E8">
        <v>-3.1</v>
      </c>
      <c r="F8">
        <v>10.53</v>
      </c>
      <c r="M8">
        <v>37.31</v>
      </c>
      <c r="N8">
        <v>36.22</v>
      </c>
      <c r="O8">
        <v>35.87</v>
      </c>
      <c r="P8">
        <v>36.55</v>
      </c>
      <c r="Q8">
        <v>58.55</v>
      </c>
      <c r="R8" t="s">
        <v>135</v>
      </c>
    </row>
    <row r="9" spans="1:18">
      <c r="A9" t="s">
        <v>134</v>
      </c>
      <c r="B9" t="s">
        <v>76</v>
      </c>
      <c r="C9" t="s">
        <v>75</v>
      </c>
      <c r="D9">
        <v>9.31</v>
      </c>
      <c r="E9">
        <v>-2</v>
      </c>
      <c r="F9">
        <v>7.31</v>
      </c>
      <c r="M9">
        <v>9.76</v>
      </c>
      <c r="N9">
        <v>9.18</v>
      </c>
      <c r="O9">
        <v>8.75</v>
      </c>
      <c r="P9">
        <v>8.81</v>
      </c>
      <c r="Q9">
        <v>60.4</v>
      </c>
      <c r="R9" t="s">
        <v>136</v>
      </c>
    </row>
    <row r="10" spans="1:18">
      <c r="A10" t="s">
        <v>134</v>
      </c>
      <c r="B10" t="s">
        <v>83</v>
      </c>
      <c r="C10" t="s">
        <v>82</v>
      </c>
      <c r="D10">
        <v>8.7</v>
      </c>
      <c r="E10">
        <v>-2.793</v>
      </c>
      <c r="F10">
        <v>2.09</v>
      </c>
      <c r="M10">
        <v>8.98</v>
      </c>
      <c r="N10">
        <v>9.02</v>
      </c>
      <c r="O10">
        <v>9.14</v>
      </c>
      <c r="P10">
        <v>10.06</v>
      </c>
      <c r="Q10">
        <v>28.47</v>
      </c>
      <c r="R10" t="s">
        <v>137</v>
      </c>
    </row>
    <row r="11" spans="1:18">
      <c r="A11" t="s">
        <v>134</v>
      </c>
      <c r="B11" t="s">
        <v>89</v>
      </c>
      <c r="C11" t="s">
        <v>88</v>
      </c>
      <c r="D11">
        <v>8.59</v>
      </c>
      <c r="E11">
        <v>-0.808</v>
      </c>
      <c r="F11">
        <v>5.35</v>
      </c>
      <c r="M11">
        <v>8.76</v>
      </c>
      <c r="N11">
        <v>8.77</v>
      </c>
      <c r="O11">
        <v>9.01</v>
      </c>
      <c r="P11">
        <v>9.22</v>
      </c>
      <c r="Q11">
        <v>25.26</v>
      </c>
      <c r="R11" t="s">
        <v>136</v>
      </c>
    </row>
    <row r="12" spans="1:18">
      <c r="A12" t="s">
        <v>138</v>
      </c>
      <c r="B12" t="s">
        <v>69</v>
      </c>
      <c r="C12" t="s">
        <v>68</v>
      </c>
      <c r="D12">
        <v>36.69</v>
      </c>
      <c r="E12">
        <v>2.975</v>
      </c>
      <c r="F12">
        <v>15.65</v>
      </c>
      <c r="M12">
        <v>37.02</v>
      </c>
      <c r="N12">
        <v>36.25</v>
      </c>
      <c r="O12">
        <v>35.88</v>
      </c>
      <c r="P12">
        <v>36.55</v>
      </c>
      <c r="Q12">
        <v>47.42</v>
      </c>
      <c r="R12" t="s">
        <v>136</v>
      </c>
    </row>
    <row r="13" spans="1:18">
      <c r="A13" t="s">
        <v>138</v>
      </c>
      <c r="B13" t="s">
        <v>76</v>
      </c>
      <c r="C13" t="s">
        <v>75</v>
      </c>
      <c r="D13">
        <v>9.29</v>
      </c>
      <c r="E13">
        <v>-0.215</v>
      </c>
      <c r="F13">
        <v>4.8</v>
      </c>
      <c r="M13">
        <v>9.76</v>
      </c>
      <c r="N13">
        <v>9.18</v>
      </c>
      <c r="O13">
        <v>8.75</v>
      </c>
      <c r="P13">
        <v>8.81</v>
      </c>
      <c r="Q13">
        <v>60.4</v>
      </c>
      <c r="R13" t="s">
        <v>136</v>
      </c>
    </row>
    <row r="14" spans="1:18">
      <c r="A14" t="s">
        <v>138</v>
      </c>
      <c r="B14" t="s">
        <v>83</v>
      </c>
      <c r="C14" t="s">
        <v>82</v>
      </c>
      <c r="D14">
        <v>8.78</v>
      </c>
      <c r="E14">
        <v>0.92</v>
      </c>
      <c r="F14">
        <v>1.61</v>
      </c>
      <c r="M14">
        <v>8.98</v>
      </c>
      <c r="N14">
        <v>9.02</v>
      </c>
      <c r="O14">
        <v>9.14</v>
      </c>
      <c r="P14">
        <v>10.06</v>
      </c>
      <c r="Q14">
        <v>28.47</v>
      </c>
      <c r="R14" t="s">
        <v>137</v>
      </c>
    </row>
    <row r="15" spans="1:18">
      <c r="A15" t="s">
        <v>138</v>
      </c>
      <c r="B15" t="s">
        <v>89</v>
      </c>
      <c r="C15" t="s">
        <v>88</v>
      </c>
      <c r="D15">
        <v>8.54</v>
      </c>
      <c r="E15">
        <v>-0.582</v>
      </c>
      <c r="F15">
        <v>4.8</v>
      </c>
      <c r="M15">
        <v>8.76</v>
      </c>
      <c r="N15">
        <v>8.77</v>
      </c>
      <c r="O15">
        <v>9.01</v>
      </c>
      <c r="P15">
        <v>9.22</v>
      </c>
      <c r="Q15">
        <v>25.26</v>
      </c>
      <c r="R15" t="s">
        <v>136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6796875" defaultRowHeight="16.8" outlineLevelRow="1"/>
  <cols>
    <col min="1" max="1" width="12" customWidth="1"/>
    <col min="2" max="2" width="14" customWidth="1"/>
    <col min="3" max="6" width="10" customWidth="1"/>
    <col min="7" max="7" width="14" customWidth="1"/>
    <col min="8" max="9" width="12" customWidth="1"/>
    <col min="10" max="10" width="25" customWidth="1"/>
    <col min="11" max="11" width="15" customWidth="1"/>
    <col min="12" max="12" width="25" customWidth="1"/>
  </cols>
  <sheetData>
    <row r="1" spans="1:12">
      <c r="A1" s="1" t="s">
        <v>139</v>
      </c>
      <c r="B1" s="1" t="s">
        <v>48</v>
      </c>
      <c r="C1" s="1" t="s">
        <v>49</v>
      </c>
      <c r="D1" s="1" t="s">
        <v>140</v>
      </c>
      <c r="E1" s="1" t="s">
        <v>141</v>
      </c>
      <c r="F1" s="1" t="s">
        <v>142</v>
      </c>
      <c r="G1" s="1" t="s">
        <v>143</v>
      </c>
      <c r="H1" s="1" t="s">
        <v>144</v>
      </c>
      <c r="I1" s="1" t="s">
        <v>145</v>
      </c>
      <c r="J1" s="1" t="s">
        <v>146</v>
      </c>
      <c r="K1" s="1" t="s">
        <v>147</v>
      </c>
      <c r="L1" s="1" t="s">
        <v>148</v>
      </c>
    </row>
    <row r="2" spans="1:12">
      <c r="A2" s="2" t="s">
        <v>149</v>
      </c>
      <c r="B2" s="2" t="s">
        <v>68</v>
      </c>
      <c r="C2" s="3" t="s">
        <v>69</v>
      </c>
      <c r="D2" s="2" t="s">
        <v>150</v>
      </c>
      <c r="E2" s="2">
        <v>1000</v>
      </c>
      <c r="F2" s="2">
        <v>35</v>
      </c>
      <c r="G2" s="4">
        <f>IFERROR(E2*F2,"")</f>
        <v>35000</v>
      </c>
      <c r="H2" s="2">
        <v>0</v>
      </c>
      <c r="I2" s="2">
        <v>1000</v>
      </c>
      <c r="J2" s="2" t="s">
        <v>151</v>
      </c>
      <c r="K2" s="2" t="s">
        <v>152</v>
      </c>
      <c r="L2" s="2" t="s">
        <v>153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使用说明</vt:lpstr>
      <vt:lpstr>持仓汇总</vt:lpstr>
      <vt:lpstr>每日行情</vt:lpstr>
      <vt:lpstr>操作日志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cairuir</cp:lastModifiedBy>
  <cp:revision>0</cp:revision>
  <dcterms:created xsi:type="dcterms:W3CDTF">2026-05-16T09:54:00Z</dcterms:created>
  <dcterms:modified xsi:type="dcterms:W3CDTF">2026-05-19T17:17:56Z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2052-12.1.25869.25869</vt:lpwstr>
  </property>
  <property fmtid="{D5CDD505-2E9C-101B-9397-08002B2CF9AE}" pid="3" name="CalculationRule">
    <vt:i4>0</vt:i4>
  </property>
  <property fmtid="{D5CDD505-2E9C-101B-9397-08002B2CF9AE}" pid="4" name="ICV">
    <vt:lpwstr>60AF8C8001B403C69B9E056A6E4BB7D0_42</vt:lpwstr>
  </property>
</Properties>
</file>