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3060" tabRatio="500" activeTab="2"/>
  </bookViews>
  <sheets>
    <sheet name="使用说明" sheetId="1" r:id="rId1"/>
    <sheet name="持仓汇总" sheetId="2" r:id="rId2"/>
    <sheet name="每日行情" sheetId="3" r:id="rId3"/>
    <sheet name="操作日志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<sst xmlns="http://schemas.openxmlformats.org/spreadsheetml/2006/main" count="1928" uniqueCount="299">
  <si>
    <t>📊 A股持仓追踪系统 - 使用说明</t>
  </si>
  <si>
    <t>🎯 系统目的</t>
  </si>
  <si>
    <t xml:space="preserve">  为已持仓的5只A股提供每日复盘和次日操作计划</t>
  </si>
  <si>
    <t>📋 三个Sheet说明</t>
  </si>
  <si>
    <t>1. 【持仓汇总】- 主表格</t>
  </si>
  <si>
    <t xml:space="preserve">   • 填写：成本价、持仓数量、当前价、止盈位、止损位</t>
  </si>
  <si>
    <t xml:space="preserve">   • 自动计算：持仓市值、组合占比、浮盈/亏、距止盈/止损距离</t>
  </si>
  <si>
    <t xml:space="preserve">   • 类别：持仓 或 观望</t>
  </si>
  <si>
    <t>2. 【每日行情】- 历史数据池</t>
  </si>
  <si>
    <t xml:space="preserve">   • 每个交易日收盘后追加一行（每只股票一行）</t>
  </si>
  <si>
    <t xml:space="preserve">   • 必填字段：收盘价、涨跌%、成交额、换手率、主力净流入、散户净流入</t>
  </si>
  <si>
    <t xml:space="preserve">   • 自动计算字段：主力流入占比、散户流入占比</t>
  </si>
  <si>
    <t>3. 【操作日志】- 交易记录</t>
  </si>
  <si>
    <t xml:space="preserve">   • 每次买入/卖出都要记录</t>
  </si>
  <si>
    <t xml:space="preserve">   • 用于事后复盘交易决策</t>
  </si>
  <si>
    <t>🔄 每日工作流（约5分钟）</t>
  </si>
  <si>
    <t xml:space="preserve">  15:00 A股收盘</t>
  </si>
  <si>
    <t xml:space="preserve">  ↓</t>
  </si>
  <si>
    <t xml:space="preserve">  在 持仓汇总 Sheet 更新【当前价】列</t>
  </si>
  <si>
    <t xml:space="preserve">  在 每日行情 Sheet 追加今日数据（5行）</t>
  </si>
  <si>
    <t xml:space="preserve">  保存Excel文件</t>
  </si>
  <si>
    <t xml:space="preserve">  打开 Claude Project → 删除旧Excel → 上传新Excel</t>
  </si>
  <si>
    <t xml:space="preserve">  发送指令：今日复盘</t>
  </si>
  <si>
    <t xml:space="preserve">  阅读报告，记录次日操作计划</t>
  </si>
  <si>
    <t>⚙️ 关键字段填写规范</t>
  </si>
  <si>
    <t xml:space="preserve">  • 类别：持仓 / 观望（文字必须一致）</t>
  </si>
  <si>
    <t xml:space="preserve">  • 代码：6位数字（如 002138）</t>
  </si>
  <si>
    <t xml:space="preserve">  • 成本价、当前价：保留2位小数</t>
  </si>
  <si>
    <t xml:space="preserve">  • 成交额：单位为【亿】（如 14.72）</t>
  </si>
  <si>
    <t xml:space="preserve">  • 主力净流入、散户净流入：单位为【万】（正数=净流入，负数=净流出）</t>
  </si>
  <si>
    <t xml:space="preserve">  • 总流入资金：可选填，单位为万</t>
  </si>
  <si>
    <t xml:space="preserve">  • 风险等级：🟢低 / 🟠中 / 🔴高</t>
  </si>
  <si>
    <t>💡 关键观察指标（如何识别派发/吸筹）</t>
  </si>
  <si>
    <t xml:space="preserve">  • 主力流入占比 &gt; 10% + 股价上涨 → 吸筹信号 🟢</t>
  </si>
  <si>
    <t xml:space="preserve">  • 主力流入占比 &lt; -5% + 散户流入占比 &gt; 5% → 派发信号 🔴</t>
  </si>
  <si>
    <t xml:space="preserve">  • 连续3日主力流入占比 &lt; 0 → 持续派发警告 🔴</t>
  </si>
  <si>
    <t xml:space="preserve">  • 高换手率(&gt;10%)+主力流出+散户流入 → 高位派发 🔴🔴</t>
  </si>
  <si>
    <t>📥 数据来源推荐</t>
  </si>
  <si>
    <t xml:space="preserve">  • 主力/散户资金流向：东方财富网（个股页底部 资金流向 栏目）</t>
  </si>
  <si>
    <t xml:space="preserve">  • 实时行情：同花顺、雪球</t>
  </si>
  <si>
    <t xml:space="preserve">  • 龙虎榜：证券之星</t>
  </si>
  <si>
    <t xml:space="preserve">  • 公司公告：上交所/深交所官网</t>
  </si>
  <si>
    <t>🚀 进阶用法</t>
  </si>
  <si>
    <t xml:space="preserve">  • 增加股票：直接在持仓汇总插入新行</t>
  </si>
  <si>
    <t xml:space="preserve">  • 卖出后：保留历史数据，将类别改为已清仓</t>
  </si>
  <si>
    <t xml:space="preserve">  • 每周末：用透视表分析周度资金流向趋势</t>
  </si>
  <si>
    <t xml:space="preserve">  • 月度复盘：对比主力占比与股价的相关性</t>
  </si>
  <si>
    <t>类别</t>
  </si>
  <si>
    <t>股票名称</t>
  </si>
  <si>
    <t>代码</t>
  </si>
  <si>
    <t>市场</t>
  </si>
  <si>
    <t>板块</t>
  </si>
  <si>
    <t>成本价</t>
  </si>
  <si>
    <t>持仓数量</t>
  </si>
  <si>
    <t>持仓市值</t>
  </si>
  <si>
    <t>组合占比%</t>
  </si>
  <si>
    <t>当前价</t>
  </si>
  <si>
    <t>浮盈/亏%</t>
  </si>
  <si>
    <t>浮盈/亏金额</t>
  </si>
  <si>
    <t>止盈位</t>
  </si>
  <si>
    <t>止损位</t>
  </si>
  <si>
    <t>距止盈%</t>
  </si>
  <si>
    <t>距止损%</t>
  </si>
  <si>
    <t>建仓日期</t>
  </si>
  <si>
    <t>关注理由</t>
  </si>
  <si>
    <t>风险等级</t>
  </si>
  <si>
    <t>备注</t>
  </si>
  <si>
    <t>持仓</t>
  </si>
  <si>
    <t>顺络电子</t>
  </si>
  <si>
    <t>002138</t>
  </si>
  <si>
    <t>深市</t>
  </si>
  <si>
    <t>电子元件/国产替代</t>
  </si>
  <si>
    <t>国内片式电感龙头，机构吸筹</t>
  </si>
  <si>
    <t>🟢</t>
  </si>
  <si>
    <t>Q1净利-23.71%需关注</t>
  </si>
  <si>
    <t>大唐电信</t>
  </si>
  <si>
    <t>600198</t>
  </si>
  <si>
    <t>沪市</t>
  </si>
  <si>
    <t>通信芯片/题材股</t>
  </si>
  <si>
    <t>安全芯片+特种通信</t>
  </si>
  <si>
    <t>🔴</t>
  </si>
  <si>
    <t>连续多年亏损，题材股属性强</t>
  </si>
  <si>
    <t>上海临港</t>
  </si>
  <si>
    <t>园区运营/自贸区</t>
  </si>
  <si>
    <t>上海临港国资龙头</t>
  </si>
  <si>
    <t>🟠</t>
  </si>
  <si>
    <t>Q1扣非-82%，基本面承压</t>
  </si>
  <si>
    <t>四川长虹</t>
  </si>
  <si>
    <t>600839</t>
  </si>
  <si>
    <t>家电/AI家电</t>
  </si>
  <si>
    <t>AI家电概念+回购</t>
  </si>
  <si>
    <t>Q1净利-71.5%</t>
  </si>
  <si>
    <t>双良节能</t>
  </si>
  <si>
    <t>光伏设备</t>
  </si>
  <si>
    <t>观望股票备注</t>
  </si>
  <si>
    <t>观望</t>
  </si>
  <si>
    <t>浙江世宝</t>
  </si>
  <si>
    <t>002703</t>
  </si>
  <si>
    <t>汽车零部件</t>
  </si>
  <si>
    <t>达实智能</t>
  </si>
  <si>
    <t>002421</t>
  </si>
  <si>
    <t>机器人</t>
  </si>
  <si>
    <t>中国长城</t>
  </si>
  <si>
    <t>000066</t>
  </si>
  <si>
    <t>计算机设备</t>
  </si>
  <si>
    <t>京东方A</t>
  </si>
  <si>
    <t>000725</t>
  </si>
  <si>
    <t>光学光电子</t>
  </si>
  <si>
    <t>📊 组合统计</t>
  </si>
  <si>
    <t>总持仓成本：</t>
  </si>
  <si>
    <t>总当前市值：</t>
  </si>
  <si>
    <t>总浮盈/亏：</t>
  </si>
  <si>
    <t>总收益率：</t>
  </si>
  <si>
    <t>日期</t>
  </si>
  <si>
    <t>股票代码</t>
  </si>
  <si>
    <t>收盘价</t>
  </si>
  <si>
    <t>涨跌%</t>
  </si>
  <si>
    <t>成交额(亿)</t>
  </si>
  <si>
    <t>换手率%</t>
  </si>
  <si>
    <t>总流入资金(万)</t>
  </si>
  <si>
    <t>主力净流入(万)</t>
  </si>
  <si>
    <t>主力流入占比%</t>
  </si>
  <si>
    <t>散户净流入(万)</t>
  </si>
  <si>
    <t>散户流入占比%</t>
  </si>
  <si>
    <t>MA5</t>
  </si>
  <si>
    <t>MA10</t>
  </si>
  <si>
    <t>MA20</t>
  </si>
  <si>
    <t>MA60</t>
  </si>
  <si>
    <t>RSI(14)</t>
  </si>
  <si>
    <t>当日异动/事件</t>
  </si>
  <si>
    <t>2026-03-23</t>
  </si>
  <si>
    <t>⚠️大跌 -4.04%</t>
  </si>
  <si>
    <t>⚠️大跌 -5.43% | 🆘🆘跌破止损 8.5</t>
  </si>
  <si>
    <t>600848</t>
  </si>
  <si>
    <t>⚠️大跌 -3.94%</t>
  </si>
  <si>
    <t>⚠️大跌 -5.77% | 🆘🆘跌破止损 8.5</t>
  </si>
  <si>
    <t>600481</t>
  </si>
  <si>
    <t>正常</t>
  </si>
  <si>
    <t>⚠️大跌 -5.95% | 🆘🆘跌破止损 3.5</t>
  </si>
  <si>
    <t>⚠️大跌 -8.43% | 🆘🆘跌破止损 19.3</t>
  </si>
  <si>
    <t>600236</t>
  </si>
  <si>
    <t>桂冠电力</t>
  </si>
  <si>
    <t>2026-03-24</t>
  </si>
  <si>
    <t>🆘🆘跌破止损 8.5</t>
  </si>
  <si>
    <t>🆘距止损仅 2.07%</t>
  </si>
  <si>
    <t>🆘🆘跌破止损 3.5</t>
  </si>
  <si>
    <t>🆘🆘跌破止损 19.3</t>
  </si>
  <si>
    <t>2026-03-25</t>
  </si>
  <si>
    <t>2026-03-26</t>
  </si>
  <si>
    <t>🆘距止损仅 1.96%</t>
  </si>
  <si>
    <t>⚠️大跌 -5.05%</t>
  </si>
  <si>
    <t>2026-03-27</t>
  </si>
  <si>
    <t>🆘距止损仅 2.63%</t>
  </si>
  <si>
    <t>⚠️大跌 -3.33%</t>
  </si>
  <si>
    <t>2026-03-30</t>
  </si>
  <si>
    <t>🆘距止损仅 2.75%</t>
  </si>
  <si>
    <t>⚠️大跌 -4.67%</t>
  </si>
  <si>
    <t>2026-03-31</t>
  </si>
  <si>
    <t>⚠️大跌 -3.20% | 🆘距止损仅 2.60%</t>
  </si>
  <si>
    <t>⚠️大跌 -4.09% | 🆘距止损仅 0.91%</t>
  </si>
  <si>
    <t>2026-04-01</t>
  </si>
  <si>
    <t>🆘距止损仅 1.81%</t>
  </si>
  <si>
    <t>2026-04-02</t>
  </si>
  <si>
    <t>⚠️大跌 -3.88% | 🆘🆘跌破止损 33.0</t>
  </si>
  <si>
    <t>🆘距止损仅 1.16%</t>
  </si>
  <si>
    <t>⚠️大跌 -3.63% | 🆘🆘跌破止损 6.5</t>
  </si>
  <si>
    <t>2026-04-03</t>
  </si>
  <si>
    <t>🆘🆘跌破止损 33.0</t>
  </si>
  <si>
    <t>⚠️大跌 -3.45% | 🆘🆘跌破止损 6.5</t>
  </si>
  <si>
    <t>⚠️大跌 -3.92% | 🆘🆘跌破止损 3.5</t>
  </si>
  <si>
    <t>2026-04-07</t>
  </si>
  <si>
    <t>⚠️大跌 -3.64%</t>
  </si>
  <si>
    <t>🆘🆘跌破止损 6.5</t>
  </si>
  <si>
    <t>2026-04-08</t>
  </si>
  <si>
    <t>📈大涨 7.25%</t>
  </si>
  <si>
    <t>📈大涨 5.15%</t>
  </si>
  <si>
    <t>🆘距止损仅 0.76%</t>
  </si>
  <si>
    <t>🟢涨停 | 🆘🆘跌破止损 3.5</t>
  </si>
  <si>
    <t>📈大涨 5.12% | 🆘🆘跌破止损 19.3</t>
  </si>
  <si>
    <t>2026-04-09</t>
  </si>
  <si>
    <t>🆘距止损仅 2.65%</t>
  </si>
  <si>
    <t>⚠️大跌 -3.40%</t>
  </si>
  <si>
    <t>🆘距止损仅 1.85%</t>
  </si>
  <si>
    <t>2026-04-10</t>
  </si>
  <si>
    <t>🆘距止损仅 2.86%</t>
  </si>
  <si>
    <t>2026-04-13</t>
  </si>
  <si>
    <t>🆘距止损仅 2.41%</t>
  </si>
  <si>
    <t>🆘距止损仅 0.31%</t>
  </si>
  <si>
    <t>2026-04-14</t>
  </si>
  <si>
    <t>⚠️大跌 -4.12%</t>
  </si>
  <si>
    <t>2026-04-15</t>
  </si>
  <si>
    <t>📈大涨 6.37%</t>
  </si>
  <si>
    <t>2026-04-16</t>
  </si>
  <si>
    <t>2026-04-17</t>
  </si>
  <si>
    <t>2026-04-20</t>
  </si>
  <si>
    <t>🆘距止损仅 1.28%</t>
  </si>
  <si>
    <t>🆘距止损仅 1.22%</t>
  </si>
  <si>
    <t>2026-04-21</t>
  </si>
  <si>
    <t>🆘距止损仅 0.91%</t>
  </si>
  <si>
    <t>2026-04-22</t>
  </si>
  <si>
    <t>🆘距止损仅 1.52%</t>
  </si>
  <si>
    <t>2026-04-23</t>
  </si>
  <si>
    <t>⚠️大跌 -4.25% | 🆘🆘跌破止损 8.5</t>
  </si>
  <si>
    <t>⚠️大跌 -3.03% | 🆘🆘跌破止损 6.5</t>
  </si>
  <si>
    <t>2026-04-24</t>
  </si>
  <si>
    <t>2026-04-27</t>
  </si>
  <si>
    <t>⚠️大跌 -5.13%</t>
  </si>
  <si>
    <t>2026-04-28</t>
  </si>
  <si>
    <t>⚠️大跌 -3.64% | 🆘🆘跌破止损 8.5</t>
  </si>
  <si>
    <t>🆘距止损仅 1.62%</t>
  </si>
  <si>
    <t>⚠️大跌 -3.82% | 🆘🆘跌破止损 6.5</t>
  </si>
  <si>
    <t>📈大涨 6.32% | 🆘🆘跌破止损 19.3</t>
  </si>
  <si>
    <t>📈大涨 6.61%</t>
  </si>
  <si>
    <t>2026-04-29</t>
  </si>
  <si>
    <t>📈大涨 6.68% | 🆘🆘跌破止损 8.5</t>
  </si>
  <si>
    <t>2026-04-30</t>
  </si>
  <si>
    <t>⚠️大跌 -3.47% | 🆘距止损仅 2.80%</t>
  </si>
  <si>
    <t>🟢涨停 | 🆘距止损仅 2.62%</t>
  </si>
  <si>
    <t>2026-05-06</t>
  </si>
  <si>
    <t>🆘距止损仅 0.70%</t>
  </si>
  <si>
    <t>🟢涨停</t>
  </si>
  <si>
    <t>2026-05-07</t>
  </si>
  <si>
    <t>📈大涨 5.87%</t>
  </si>
  <si>
    <t>🆘距止损仅 2.19%</t>
  </si>
  <si>
    <t>2026-05-08</t>
  </si>
  <si>
    <t>⚠️大跌 -3.71%</t>
  </si>
  <si>
    <t>2026-05-11</t>
  </si>
  <si>
    <t>🆘距止损仅 2.97%</t>
  </si>
  <si>
    <t>🟢涨停 | 🎯到达止盈 11.0</t>
  </si>
  <si>
    <t>2026-05-12</t>
  </si>
  <si>
    <t>🎯到达止盈 10.0</t>
  </si>
  <si>
    <t>📈大涨 8.38%</t>
  </si>
  <si>
    <t>🎯到达止盈 11.0</t>
  </si>
  <si>
    <t>2026-05-13</t>
  </si>
  <si>
    <t>2026-05-14</t>
  </si>
  <si>
    <t>⚠️大跌 -3.69%</t>
  </si>
  <si>
    <t>⚠️大跌 -6.50%</t>
  </si>
  <si>
    <t>⚠️大跌 -3.63% | 🆘🆘跌破止损 3.5</t>
  </si>
  <si>
    <t>🔴跌停！</t>
  </si>
  <si>
    <t>🎯到达止盈 11.0 | ⚠️大跌 -7.02%</t>
  </si>
  <si>
    <t>2026-05-15</t>
  </si>
  <si>
    <t>⚠️大跌 -3.10%</t>
  </si>
  <si>
    <t>🆘距止损仅 2.30%</t>
  </si>
  <si>
    <t>🆘距止损仅 1.05%</t>
  </si>
  <si>
    <t>⚠️大跌 -4.22%</t>
  </si>
  <si>
    <t>2026-05-18</t>
  </si>
  <si>
    <t>🆘距止损仅 0.47%</t>
  </si>
  <si>
    <t>⚠️大跌 -3.11% | 🆘距止损仅 0.76%</t>
  </si>
  <si>
    <t>🟢涨停 | 🆘距止损仅 0.85%</t>
  </si>
  <si>
    <t>2026-05-19</t>
  </si>
  <si>
    <t>📈大涨 8.39%</t>
  </si>
  <si>
    <t>2026-05-20</t>
  </si>
  <si>
    <t>⚠️大跌 -6.10%</t>
  </si>
  <si>
    <t>2026-05-21</t>
  </si>
  <si>
    <t>⚠️大跌 -5.16% | 🆘距止损仅 1.62%</t>
  </si>
  <si>
    <t>📈大涨 6.56%</t>
  </si>
  <si>
    <t>⚠️大跌 -7.26%</t>
  </si>
  <si>
    <t>⚠️大跌 -5.15%</t>
  </si>
  <si>
    <t>002931</t>
  </si>
  <si>
    <t>锋龙股份</t>
  </si>
  <si>
    <t>⚠️大跌 -5.17%</t>
  </si>
  <si>
    <t>⚠️大跌 -6.14%</t>
  </si>
  <si>
    <t>⚠️大跌 -5.45%</t>
  </si>
  <si>
    <t>⚠️大跌 -7.37%</t>
  </si>
  <si>
    <t>2026-03-18</t>
  </si>
  <si>
    <t>2026-03-19</t>
  </si>
  <si>
    <t>⚠️大跌 -3.24%</t>
  </si>
  <si>
    <t>2026-03-20</t>
  </si>
  <si>
    <t>⚠️大跌 -7.14%</t>
  </si>
  <si>
    <t>⚠️大跌 -8.06%</t>
  </si>
  <si>
    <t>⚠️大跌 -4.17% | 🆘距止损仅 2.94%</t>
  </si>
  <si>
    <t>⚠️大跌 -3.08%</t>
  </si>
  <si>
    <t>⚠️大跌 -4.77% | 🆘距止损仅 0.43%</t>
  </si>
  <si>
    <t>🆘🆘跌破止损 18.5</t>
  </si>
  <si>
    <t>📈大涨 6.69%</t>
  </si>
  <si>
    <t>⚠️大跌 -3.37%</t>
  </si>
  <si>
    <t>⚠️大跌 -4.07%</t>
  </si>
  <si>
    <t>🔴跌停！ | 🆘🆘跌破止损 18.5</t>
  </si>
  <si>
    <t>📈大涨 5.16% | 🆘距止损仅 0.22%</t>
  </si>
  <si>
    <t>🆘距止损仅 0.96%</t>
  </si>
  <si>
    <t>⚠️大跌 -5.64% | 🆘距止损仅 2.22%</t>
  </si>
  <si>
    <t>🆘距止损仅 1.65%</t>
  </si>
  <si>
    <t>🆘距止损仅 2.43%</t>
  </si>
  <si>
    <t>⚠️大跌 -4.48% | 🆘🆘跌破止损 18.5</t>
  </si>
  <si>
    <t>操作日期</t>
  </si>
  <si>
    <t>操作类型</t>
  </si>
  <si>
    <t>数量</t>
  </si>
  <si>
    <t>成交价</t>
  </si>
  <si>
    <t>成交金额</t>
  </si>
  <si>
    <t>操作前持仓</t>
  </si>
  <si>
    <t>操作后持仓</t>
  </si>
  <si>
    <t>操作理由</t>
  </si>
  <si>
    <t>盈亏情况</t>
  </si>
  <si>
    <t>复盘备注</t>
  </si>
  <si>
    <t>（示例）</t>
  </si>
  <si>
    <t>买入</t>
  </si>
  <si>
    <t>突破MA60+主力流入</t>
  </si>
  <si>
    <t>待跟踪</t>
  </si>
  <si>
    <t>请删除本行示例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</si>
</sst>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"/>
    <numFmt numFmtId="177" formatCode="\¥#,##0.00;[Red]&quot;-¥&quot;#,##0.00"/>
  </numFmts>
  <fonts count="37">
    <font>
      <sz val="11"/>
      <color theme="1"/>
      <name val="Calibri"/>
      <charset val="1"/>
    </font>
    <font>
      <b/>
      <sz val="11"/>
      <color rgb="FFFFFFFF"/>
      <name val="Noto Sans CJK SC"/>
      <charset val="134"/>
    </font>
    <font>
      <i/>
      <sz val="10"/>
      <color rgb="FF999999"/>
      <name val="Noto Sans CJK SC"/>
      <charset val="134"/>
    </font>
    <font>
      <i/>
      <sz val="10"/>
      <color rgb="FF999999"/>
      <name val="Arial"/>
      <charset val="1"/>
    </font>
    <font>
      <b/>
      <sz val="11"/>
      <color rgb="FFFFFFFF"/>
      <name val="Arial"/>
      <charset val="1"/>
    </font>
    <font>
      <sz val="10"/>
      <name val="Noto Sans CJK SC"/>
      <charset val="134"/>
    </font>
    <font>
      <sz val="10"/>
      <name val="Arial"/>
      <charset val="1"/>
    </font>
    <font>
      <sz val="10"/>
      <name val="Calibri"/>
      <charset val="134"/>
    </font>
    <font>
      <sz val="10"/>
      <name val="宋体-简"/>
      <charset val="134"/>
    </font>
    <font>
      <sz val="10"/>
      <name val="Calibri"/>
      <charset val="1"/>
    </font>
    <font>
      <b/>
      <sz val="12"/>
      <color rgb="FF1F4E78"/>
      <name val="Noto Sans CJK SC"/>
      <charset val="134"/>
    </font>
    <font>
      <b/>
      <sz val="11"/>
      <name val="Noto Sans CJK SC"/>
      <charset val="134"/>
    </font>
    <font>
      <b/>
      <sz val="16"/>
      <color rgb="FF1F4E78"/>
      <name val="Cambria"/>
      <charset val="1"/>
    </font>
    <font>
      <i/>
      <sz val="10"/>
      <name val="Cambria"/>
      <charset val="1"/>
    </font>
    <font>
      <i/>
      <sz val="10"/>
      <name val="Noto Sans CJK SC"/>
      <charset val="134"/>
    </font>
    <font>
      <sz val="10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2828"/>
        <bgColor rgb="FF993366"/>
      </patternFill>
    </fill>
    <fill>
      <patternFill patternType="solid">
        <fgColor rgb="FF2E7D32"/>
        <bgColor rgb="FF008000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6" fillId="0" borderId="0"/>
    <xf numFmtId="44" fontId="16" fillId="0" borderId="0"/>
    <xf numFmtId="9" fontId="16" fillId="0" borderId="0"/>
    <xf numFmtId="41" fontId="16" fillId="0" borderId="0"/>
    <xf numFmtId="42" fontId="16" fillId="0" borderId="0"/>
    <xf numFmtId="0" fontId="17" fillId="0" borderId="0">
      <alignment vertical="center"/>
    </xf>
    <xf numFmtId="0" fontId="18" fillId="0" borderId="0">
      <alignment vertical="center"/>
    </xf>
    <xf numFmtId="0" fontId="19" fillId="5" borderId="3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3" fillId="0" borderId="4">
      <alignment vertical="center"/>
    </xf>
    <xf numFmtId="0" fontId="24" fillId="0" borderId="4">
      <alignment vertical="center"/>
    </xf>
    <xf numFmtId="0" fontId="25" fillId="0" borderId="5">
      <alignment vertical="center"/>
    </xf>
    <xf numFmtId="0" fontId="25" fillId="0" borderId="0">
      <alignment vertical="center"/>
    </xf>
    <xf numFmtId="0" fontId="26" fillId="6" borderId="6">
      <alignment vertical="center"/>
    </xf>
    <xf numFmtId="0" fontId="27" fillId="7" borderId="7">
      <alignment vertical="center"/>
    </xf>
    <xf numFmtId="0" fontId="28" fillId="7" borderId="6">
      <alignment vertical="center"/>
    </xf>
    <xf numFmtId="0" fontId="29" fillId="8" borderId="8">
      <alignment vertical="center"/>
    </xf>
    <xf numFmtId="0" fontId="30" fillId="0" borderId="9">
      <alignment vertical="center"/>
    </xf>
    <xf numFmtId="0" fontId="31" fillId="0" borderId="10">
      <alignment vertical="center"/>
    </xf>
    <xf numFmtId="0" fontId="32" fillId="9" borderId="0">
      <alignment vertical="center"/>
    </xf>
    <xf numFmtId="0" fontId="33" fillId="10" borderId="0">
      <alignment vertical="center"/>
    </xf>
    <xf numFmtId="0" fontId="34" fillId="11" borderId="0">
      <alignment vertical="center"/>
    </xf>
    <xf numFmtId="0" fontId="35" fillId="12" borderId="0">
      <alignment vertical="center"/>
    </xf>
    <xf numFmtId="0" fontId="36" fillId="13" borderId="0">
      <alignment vertical="center"/>
    </xf>
    <xf numFmtId="0" fontId="36" fillId="14" borderId="0">
      <alignment vertical="center"/>
    </xf>
    <xf numFmtId="0" fontId="35" fillId="15" borderId="0">
      <alignment vertical="center"/>
    </xf>
    <xf numFmtId="0" fontId="35" fillId="16" borderId="0">
      <alignment vertical="center"/>
    </xf>
    <xf numFmtId="0" fontId="36" fillId="17" borderId="0">
      <alignment vertical="center"/>
    </xf>
    <xf numFmtId="0" fontId="36" fillId="18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6" fillId="21" borderId="0">
      <alignment vertical="center"/>
    </xf>
    <xf numFmtId="0" fontId="36" fillId="22" borderId="0">
      <alignment vertical="center"/>
    </xf>
    <xf numFmtId="0" fontId="35" fillId="23" borderId="0">
      <alignment vertical="center"/>
    </xf>
    <xf numFmtId="0" fontId="35" fillId="24" borderId="0">
      <alignment vertical="center"/>
    </xf>
    <xf numFmtId="0" fontId="36" fillId="25" borderId="0">
      <alignment vertical="center"/>
    </xf>
    <xf numFmtId="0" fontId="36" fillId="26" borderId="0">
      <alignment vertical="center"/>
    </xf>
    <xf numFmtId="0" fontId="35" fillId="27" borderId="0">
      <alignment vertical="center"/>
    </xf>
    <xf numFmtId="0" fontId="35" fillId="28" borderId="0">
      <alignment vertical="center"/>
    </xf>
    <xf numFmtId="0" fontId="36" fillId="29" borderId="0">
      <alignment vertical="center"/>
    </xf>
    <xf numFmtId="0" fontId="36" fillId="30" borderId="0">
      <alignment vertical="center"/>
    </xf>
    <xf numFmtId="0" fontId="35" fillId="31" borderId="0">
      <alignment vertical="center"/>
    </xf>
    <xf numFmtId="0" fontId="35" fillId="32" borderId="0">
      <alignment vertical="center"/>
    </xf>
    <xf numFmtId="0" fontId="36" fillId="33" borderId="0">
      <alignment vertical="center"/>
    </xf>
    <xf numFmtId="0" fontId="36" fillId="34" borderId="0">
      <alignment vertical="center"/>
    </xf>
    <xf numFmtId="0" fontId="35" fillId="35" borderId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0" fontId="6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0" fontId="9" fillId="0" borderId="2" xfId="0" applyNumberFormat="1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76" fontId="0" fillId="0" borderId="0" xfId="0" applyNumberFormat="1"/>
    <xf numFmtId="177" fontId="0" fillId="0" borderId="0" xfId="0" applyNumberFormat="1"/>
    <xf numFmtId="10" fontId="0" fillId="0" borderId="0" xfId="0" applyNumberForma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5" fillId="0" borderId="0" xfId="0" applyFont="1"/>
    <xf numFmtId="0" fontId="6" fillId="0" borderId="2" xfId="0" applyFont="1" applyBorder="1" applyAlignment="1" quotePrefix="1">
      <alignment horizontal="center" vertical="center"/>
    </xf>
    <xf numFmtId="0" fontId="9" fillId="0" borderId="2" xfId="0" applyFon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CCCCC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99999"/>
      <rgbColor rgb="00003366"/>
      <rgbColor rgb="002E7D32"/>
      <rgbColor rgb="00003300"/>
      <rgbColor rgb="00333300"/>
      <rgbColor rgb="00C62828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7"/>
  <sheetViews>
    <sheetView topLeftCell="A63" workbookViewId="0">
      <selection activeCell="A1" sqref="A1"/>
    </sheetView>
  </sheetViews>
  <sheetFormatPr defaultColWidth="8.6796875" defaultRowHeight="16.8"/>
  <cols>
    <col min="1" max="1" width="80" customWidth="1"/>
  </cols>
  <sheetData>
    <row r="1" ht="24" customHeight="1" spans="1:1">
      <c r="A1" s="20" t="s">
        <v>0</v>
      </c>
    </row>
    <row r="2" spans="1:1">
      <c r="A2" s="21"/>
    </row>
    <row r="3" ht="17.6" customHeight="1" spans="1:1">
      <c r="A3" s="15" t="s">
        <v>1</v>
      </c>
    </row>
    <row r="4" spans="1:1">
      <c r="A4" s="22" t="s">
        <v>2</v>
      </c>
    </row>
    <row r="5" spans="1:1">
      <c r="A5" s="21"/>
    </row>
    <row r="6" ht="18" customHeight="1" spans="1:1">
      <c r="A6" s="15" t="s">
        <v>3</v>
      </c>
    </row>
    <row r="7" spans="1:1">
      <c r="A7" s="21"/>
    </row>
    <row r="8" spans="1:1">
      <c r="A8" s="23" t="s">
        <v>4</v>
      </c>
    </row>
    <row r="9" spans="1:1">
      <c r="A9" s="22" t="s">
        <v>5</v>
      </c>
    </row>
    <row r="10" spans="1:1">
      <c r="A10" s="22" t="s">
        <v>6</v>
      </c>
    </row>
    <row r="11" spans="1:1">
      <c r="A11" s="22" t="s">
        <v>7</v>
      </c>
    </row>
    <row r="12" spans="1:1">
      <c r="A12" s="21"/>
    </row>
    <row r="13" spans="1:1">
      <c r="A13" s="23" t="s">
        <v>8</v>
      </c>
    </row>
    <row r="14" spans="1:1">
      <c r="A14" s="22" t="s">
        <v>9</v>
      </c>
    </row>
    <row r="15" spans="1:1">
      <c r="A15" s="22" t="s">
        <v>10</v>
      </c>
    </row>
    <row r="16" spans="1:1">
      <c r="A16" s="22" t="s">
        <v>11</v>
      </c>
    </row>
    <row r="17" spans="1:1">
      <c r="A17" s="21"/>
    </row>
    <row r="18" spans="1:1">
      <c r="A18" s="23" t="s">
        <v>12</v>
      </c>
    </row>
    <row r="19" spans="1:1">
      <c r="A19" s="22" t="s">
        <v>13</v>
      </c>
    </row>
    <row r="20" spans="1:1">
      <c r="A20" s="22" t="s">
        <v>14</v>
      </c>
    </row>
    <row r="21" spans="1:1">
      <c r="A21" s="21"/>
    </row>
    <row r="22" ht="18" customHeight="1" spans="1:1">
      <c r="A22" s="15" t="s">
        <v>15</v>
      </c>
    </row>
    <row r="23" spans="1:1">
      <c r="A23" s="21"/>
    </row>
    <row r="24" spans="1:1">
      <c r="A24" s="23" t="s">
        <v>16</v>
      </c>
    </row>
    <row r="25" spans="1:1">
      <c r="A25" s="23" t="s">
        <v>17</v>
      </c>
    </row>
    <row r="26" spans="1:1">
      <c r="A26" s="22" t="s">
        <v>18</v>
      </c>
    </row>
    <row r="27" spans="1:1">
      <c r="A27" s="23" t="s">
        <v>17</v>
      </c>
    </row>
    <row r="28" spans="1:1">
      <c r="A28" s="22" t="s">
        <v>19</v>
      </c>
    </row>
    <row r="29" spans="1:1">
      <c r="A29" s="23" t="s">
        <v>17</v>
      </c>
    </row>
    <row r="30" spans="1:1">
      <c r="A30" s="22" t="s">
        <v>20</v>
      </c>
    </row>
    <row r="31" spans="1:1">
      <c r="A31" s="23" t="s">
        <v>17</v>
      </c>
    </row>
    <row r="32" spans="1:1">
      <c r="A32" s="22" t="s">
        <v>21</v>
      </c>
    </row>
    <row r="33" spans="1:1">
      <c r="A33" s="23" t="s">
        <v>17</v>
      </c>
    </row>
    <row r="34" spans="1:1">
      <c r="A34" s="22" t="s">
        <v>22</v>
      </c>
    </row>
    <row r="35" spans="1:1">
      <c r="A35" s="23" t="s">
        <v>17</v>
      </c>
    </row>
    <row r="36" spans="1:1">
      <c r="A36" s="22" t="s">
        <v>23</v>
      </c>
    </row>
    <row r="37" spans="1:1">
      <c r="A37" s="21"/>
    </row>
    <row r="38" ht="17.6" customHeight="1" spans="1:1">
      <c r="A38" s="15" t="s">
        <v>24</v>
      </c>
    </row>
    <row r="39" spans="1:1">
      <c r="A39" s="21"/>
    </row>
    <row r="40" spans="1:1">
      <c r="A40" s="24" t="s">
        <v>25</v>
      </c>
    </row>
    <row r="41" spans="1:1">
      <c r="A41" s="24" t="s">
        <v>26</v>
      </c>
    </row>
    <row r="42" spans="1:1">
      <c r="A42" s="24" t="s">
        <v>27</v>
      </c>
    </row>
    <row r="43" spans="1:1">
      <c r="A43" s="24" t="s">
        <v>28</v>
      </c>
    </row>
    <row r="44" spans="1:1">
      <c r="A44" s="24" t="s">
        <v>29</v>
      </c>
    </row>
    <row r="45" spans="1:1">
      <c r="A45" s="24" t="s">
        <v>30</v>
      </c>
    </row>
    <row r="46" spans="1:1">
      <c r="A46" s="24" t="s">
        <v>31</v>
      </c>
    </row>
    <row r="47" spans="1:1">
      <c r="A47" s="21"/>
    </row>
    <row r="48" ht="18" customHeight="1" spans="1:1">
      <c r="A48" s="15" t="s">
        <v>32</v>
      </c>
    </row>
    <row r="49" spans="1:1">
      <c r="A49" s="21"/>
    </row>
    <row r="50" spans="1:1">
      <c r="A50" s="24" t="s">
        <v>33</v>
      </c>
    </row>
    <row r="51" spans="1:1">
      <c r="A51" s="24" t="s">
        <v>34</v>
      </c>
    </row>
    <row r="52" spans="1:1">
      <c r="A52" s="24" t="s">
        <v>35</v>
      </c>
    </row>
    <row r="53" spans="1:1">
      <c r="A53" s="24" t="s">
        <v>36</v>
      </c>
    </row>
    <row r="54" spans="1:1">
      <c r="A54" s="21"/>
    </row>
    <row r="55" ht="17.6" customHeight="1" spans="1:1">
      <c r="A55" s="15" t="s">
        <v>37</v>
      </c>
    </row>
    <row r="56" spans="1:1">
      <c r="A56" s="21"/>
    </row>
    <row r="57" spans="1:1">
      <c r="A57" s="24" t="s">
        <v>38</v>
      </c>
    </row>
    <row r="58" spans="1:1">
      <c r="A58" s="24" t="s">
        <v>39</v>
      </c>
    </row>
    <row r="59" spans="1:1">
      <c r="A59" s="24" t="s">
        <v>40</v>
      </c>
    </row>
    <row r="60" spans="1:1">
      <c r="A60" s="24" t="s">
        <v>41</v>
      </c>
    </row>
    <row r="61" spans="1:1">
      <c r="A61" s="21"/>
    </row>
    <row r="62" ht="17.6" customHeight="1" spans="1:1">
      <c r="A62" s="15" t="s">
        <v>42</v>
      </c>
    </row>
    <row r="63" spans="1:1">
      <c r="A63" s="21"/>
    </row>
    <row r="64" spans="1:1">
      <c r="A64" s="24" t="s">
        <v>43</v>
      </c>
    </row>
    <row r="65" spans="1:1">
      <c r="A65" s="24" t="s">
        <v>44</v>
      </c>
    </row>
    <row r="66" spans="1:1">
      <c r="A66" s="24" t="s">
        <v>45</v>
      </c>
    </row>
    <row r="67" spans="1:1">
      <c r="A67" s="24" t="s">
        <v>46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7"/>
  <sheetViews>
    <sheetView workbookViewId="0">
      <pane ySplit="1" topLeftCell="A2" activePane="bottomLeft" state="frozen"/>
      <selection/>
      <selection pane="bottomLeft" activeCell="E20" sqref="E20"/>
    </sheetView>
  </sheetViews>
  <sheetFormatPr defaultColWidth="8.6796875" defaultRowHeight="16.8"/>
  <cols>
    <col min="1" max="1" width="24.9921875" customWidth="1"/>
    <col min="2" max="2" width="14" customWidth="1"/>
    <col min="3" max="3" width="10" customWidth="1"/>
    <col min="4" max="4" width="8" customWidth="1"/>
    <col min="5" max="5" width="18" customWidth="1"/>
    <col min="6" max="7" width="10" customWidth="1"/>
    <col min="8" max="8" width="14" customWidth="1"/>
    <col min="9" max="9" width="11" customWidth="1"/>
    <col min="10" max="10" width="10" customWidth="1"/>
    <col min="11" max="11" width="11" customWidth="1"/>
    <col min="12" max="12" width="13" customWidth="1"/>
    <col min="13" max="14" width="10" customWidth="1"/>
    <col min="15" max="16" width="11" customWidth="1"/>
    <col min="17" max="17" width="12" customWidth="1"/>
    <col min="18" max="18" width="25" customWidth="1"/>
    <col min="19" max="19" width="10" customWidth="1"/>
    <col min="20" max="20" width="25" customWidth="1"/>
  </cols>
  <sheetData>
    <row r="1" ht="17" customHeight="1" spans="1:20">
      <c r="A1" s="7" t="s">
        <v>47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  <c r="J1" s="7" t="s">
        <v>56</v>
      </c>
      <c r="K1" s="7" t="s">
        <v>57</v>
      </c>
      <c r="L1" s="7" t="s">
        <v>58</v>
      </c>
      <c r="M1" s="7" t="s">
        <v>59</v>
      </c>
      <c r="N1" s="7" t="s">
        <v>60</v>
      </c>
      <c r="O1" s="7" t="s">
        <v>61</v>
      </c>
      <c r="P1" s="7" t="s">
        <v>62</v>
      </c>
      <c r="Q1" s="7" t="s">
        <v>63</v>
      </c>
      <c r="R1" s="7" t="s">
        <v>64</v>
      </c>
      <c r="S1" s="7" t="s">
        <v>65</v>
      </c>
      <c r="T1" s="7" t="s">
        <v>66</v>
      </c>
    </row>
    <row r="2" spans="1:20">
      <c r="A2" s="8" t="s">
        <v>67</v>
      </c>
      <c r="B2" s="8" t="s">
        <v>68</v>
      </c>
      <c r="C2" s="9" t="s">
        <v>69</v>
      </c>
      <c r="D2" s="8" t="s">
        <v>70</v>
      </c>
      <c r="E2" s="8" t="s">
        <v>71</v>
      </c>
      <c r="F2" s="8">
        <v>34.008</v>
      </c>
      <c r="G2" s="8">
        <v>200</v>
      </c>
      <c r="H2" s="8">
        <f>IFERROR(F2*G2,"")</f>
        <v>6801.6</v>
      </c>
      <c r="I2" s="10">
        <f>IFERROR(H2/SUM($H$2:$H$5),"")</f>
        <v>0.195900987281528</v>
      </c>
      <c r="J2" s="8">
        <v>39.9</v>
      </c>
      <c r="K2" s="10">
        <f>IFERROR((J2-F2)/F2,"")</f>
        <v>0.173253352152435</v>
      </c>
      <c r="L2" s="8">
        <f>IFERROR((J2-F2)*G2,"")</f>
        <v>1178.4</v>
      </c>
      <c r="M2" s="8"/>
      <c r="N2" s="8"/>
      <c r="O2" s="10">
        <f>IFERROR((M2-J2)/J2,"")</f>
        <v>-1</v>
      </c>
      <c r="P2" s="10">
        <f>IFERROR((J2-N2)/J2,"")</f>
        <v>1</v>
      </c>
      <c r="Q2" s="8"/>
      <c r="R2" s="8" t="s">
        <v>72</v>
      </c>
      <c r="S2" s="9" t="s">
        <v>73</v>
      </c>
      <c r="T2" s="9" t="s">
        <v>74</v>
      </c>
    </row>
    <row r="3" spans="1:20">
      <c r="A3" s="8" t="s">
        <v>67</v>
      </c>
      <c r="B3" s="8" t="s">
        <v>75</v>
      </c>
      <c r="C3" s="9" t="s">
        <v>76</v>
      </c>
      <c r="D3" s="8" t="s">
        <v>77</v>
      </c>
      <c r="E3" s="8" t="s">
        <v>78</v>
      </c>
      <c r="F3" s="8">
        <v>7.973</v>
      </c>
      <c r="G3" s="8">
        <v>200</v>
      </c>
      <c r="H3" s="8">
        <f>IFERROR(F3*G3,"")</f>
        <v>1594.6</v>
      </c>
      <c r="I3" s="10">
        <f>IFERROR(H3/SUM($H$2:$H$5),"")</f>
        <v>0.0459279749351807</v>
      </c>
      <c r="J3" s="8">
        <v>8.78</v>
      </c>
      <c r="K3" s="10">
        <f>IFERROR((J3-F3)/F3,"")</f>
        <v>0.101216606045403</v>
      </c>
      <c r="L3" s="8">
        <f>IFERROR((J3-F3)*G3,"")</f>
        <v>161.4</v>
      </c>
      <c r="M3" s="8"/>
      <c r="N3" s="8"/>
      <c r="O3" s="10">
        <f>IFERROR((M3-J3)/J3,"")</f>
        <v>-1</v>
      </c>
      <c r="P3" s="10">
        <f>IFERROR((J3-N3)/J3,"")</f>
        <v>1</v>
      </c>
      <c r="Q3" s="8"/>
      <c r="R3" s="8" t="s">
        <v>79</v>
      </c>
      <c r="S3" s="9" t="s">
        <v>80</v>
      </c>
      <c r="T3" s="8" t="s">
        <v>81</v>
      </c>
    </row>
    <row r="4" spans="1:20">
      <c r="A4" s="8" t="s">
        <v>67</v>
      </c>
      <c r="B4" s="8" t="s">
        <v>82</v>
      </c>
      <c r="C4" s="9">
        <v>600848</v>
      </c>
      <c r="D4" s="8" t="s">
        <v>77</v>
      </c>
      <c r="E4" s="8" t="s">
        <v>83</v>
      </c>
      <c r="F4" s="8">
        <v>15.129</v>
      </c>
      <c r="G4" s="8">
        <v>920</v>
      </c>
      <c r="H4" s="8">
        <f>IFERROR(F4*G4,"")</f>
        <v>13918.68</v>
      </c>
      <c r="I4" s="10">
        <f>IFERROR(H4/SUM($H$2:$H$5),"")</f>
        <v>0.400888490010536</v>
      </c>
      <c r="J4" s="8">
        <v>8.71</v>
      </c>
      <c r="K4" s="10">
        <f>IFERROR((J4-F4)/F4,"")</f>
        <v>-0.424284486747306</v>
      </c>
      <c r="L4" s="8">
        <f>IFERROR((J4-F4)*G4,"")</f>
        <v>-5905.48</v>
      </c>
      <c r="M4" s="8"/>
      <c r="N4" s="8"/>
      <c r="O4" s="10">
        <f>IFERROR((M4-J4)/J4,"")</f>
        <v>-1</v>
      </c>
      <c r="P4" s="10">
        <f>IFERROR((J4-N4)/J4,"")</f>
        <v>1</v>
      </c>
      <c r="Q4" s="8"/>
      <c r="R4" s="8" t="s">
        <v>84</v>
      </c>
      <c r="S4" s="9" t="s">
        <v>85</v>
      </c>
      <c r="T4" s="9" t="s">
        <v>86</v>
      </c>
    </row>
    <row r="5" spans="1:20">
      <c r="A5" s="8" t="s">
        <v>67</v>
      </c>
      <c r="B5" s="8" t="s">
        <v>87</v>
      </c>
      <c r="C5" s="9" t="s">
        <v>88</v>
      </c>
      <c r="D5" s="8" t="s">
        <v>77</v>
      </c>
      <c r="E5" s="8" t="s">
        <v>89</v>
      </c>
      <c r="F5" s="8">
        <v>11.277</v>
      </c>
      <c r="G5" s="8">
        <v>1100</v>
      </c>
      <c r="H5" s="8">
        <f>IFERROR(F5*G5,"")</f>
        <v>12404.7</v>
      </c>
      <c r="I5" s="10">
        <f>IFERROR(H5/SUM($H$2:$H$5),"")</f>
        <v>0.357282547772755</v>
      </c>
      <c r="J5" s="8">
        <v>8.17</v>
      </c>
      <c r="K5" s="10">
        <f>IFERROR((J5-F5)/F5,"")</f>
        <v>-0.27551653808637</v>
      </c>
      <c r="L5" s="8">
        <f>IFERROR((J5-F5)*G5,"")</f>
        <v>-3417.7</v>
      </c>
      <c r="M5" s="8"/>
      <c r="N5" s="8"/>
      <c r="O5" s="10">
        <f>IFERROR((M5-J5)/J5,"")</f>
        <v>-1</v>
      </c>
      <c r="P5" s="10">
        <f>IFERROR((J5-N5)/J5,"")</f>
        <v>1</v>
      </c>
      <c r="Q5" s="8"/>
      <c r="R5" s="9" t="s">
        <v>90</v>
      </c>
      <c r="S5" s="9" t="s">
        <v>85</v>
      </c>
      <c r="T5" s="9" t="s">
        <v>91</v>
      </c>
    </row>
    <row r="6" spans="1:20">
      <c r="A6" s="8" t="s">
        <v>67</v>
      </c>
      <c r="B6" s="8" t="s">
        <v>92</v>
      </c>
      <c r="C6" s="9">
        <v>600481</v>
      </c>
      <c r="D6" s="8" t="s">
        <v>77</v>
      </c>
      <c r="E6" s="8" t="s">
        <v>93</v>
      </c>
      <c r="F6" s="8">
        <v>7.305</v>
      </c>
      <c r="G6" s="8">
        <v>200</v>
      </c>
      <c r="H6" s="8">
        <f>IFERROR(F6*G6,"")</f>
        <v>1461</v>
      </c>
      <c r="I6" s="8">
        <v>0</v>
      </c>
      <c r="J6" s="8">
        <v>7.65</v>
      </c>
      <c r="K6" s="10" t="str">
        <f t="array" ref="K6">IFERROR((J6-J8F7)/F6,"")</f>
        <v/>
      </c>
      <c r="L6" s="8">
        <f>IFERROR((J6-F6)*G6,"")</f>
        <v>69.0000000000001</v>
      </c>
      <c r="M6" s="8"/>
      <c r="N6" s="8"/>
      <c r="O6" s="10">
        <f>IFERROR((M6-J6)/J6,"")</f>
        <v>-1</v>
      </c>
      <c r="P6" s="10">
        <f>IFERROR((J6-N6)/J6,"")</f>
        <v>1</v>
      </c>
      <c r="Q6" s="8"/>
      <c r="R6" s="8" t="s">
        <v>64</v>
      </c>
      <c r="S6" s="9" t="s">
        <v>73</v>
      </c>
      <c r="T6" s="8" t="s">
        <v>94</v>
      </c>
    </row>
    <row r="7" spans="1:20">
      <c r="A7" s="8" t="s">
        <v>95</v>
      </c>
      <c r="B7" s="8" t="s">
        <v>96</v>
      </c>
      <c r="C7" s="25" t="s">
        <v>97</v>
      </c>
      <c r="D7" s="8" t="s">
        <v>77</v>
      </c>
      <c r="E7" s="8" t="s">
        <v>98</v>
      </c>
      <c r="F7" s="8"/>
      <c r="G7" s="8">
        <v>0</v>
      </c>
      <c r="H7" s="8">
        <v>0</v>
      </c>
      <c r="I7" s="8">
        <v>0</v>
      </c>
      <c r="J7" s="8">
        <v>19.92</v>
      </c>
      <c r="K7" s="10"/>
      <c r="L7" s="8"/>
      <c r="M7" s="8"/>
      <c r="N7" s="8"/>
      <c r="O7" s="10"/>
      <c r="P7" s="10"/>
      <c r="Q7" s="8"/>
      <c r="R7" s="8"/>
      <c r="S7" s="9"/>
      <c r="T7" s="8"/>
    </row>
    <row r="8" spans="1:20">
      <c r="A8" s="8" t="s">
        <v>95</v>
      </c>
      <c r="B8" s="8" t="s">
        <v>99</v>
      </c>
      <c r="C8" s="25" t="s">
        <v>100</v>
      </c>
      <c r="D8" s="8" t="s">
        <v>70</v>
      </c>
      <c r="E8" s="8" t="s">
        <v>101</v>
      </c>
      <c r="F8" s="8"/>
      <c r="G8" s="8">
        <v>0</v>
      </c>
      <c r="H8" s="8">
        <v>0</v>
      </c>
      <c r="I8" s="8">
        <v>0</v>
      </c>
      <c r="J8" s="8">
        <v>3.96</v>
      </c>
      <c r="K8" s="10"/>
      <c r="L8" s="8"/>
      <c r="M8" s="8"/>
      <c r="N8" s="8"/>
      <c r="O8" s="10"/>
      <c r="P8" s="10"/>
      <c r="Q8" s="8"/>
      <c r="R8" s="8"/>
      <c r="S8" s="9"/>
      <c r="T8" s="8"/>
    </row>
    <row r="9" spans="1:20">
      <c r="A9" s="8" t="s">
        <v>95</v>
      </c>
      <c r="B9" s="8" t="s">
        <v>102</v>
      </c>
      <c r="C9" s="25" t="s">
        <v>103</v>
      </c>
      <c r="D9" s="8" t="s">
        <v>70</v>
      </c>
      <c r="E9" s="8" t="s">
        <v>104</v>
      </c>
      <c r="F9" s="8"/>
      <c r="G9" s="8"/>
      <c r="H9" s="8"/>
      <c r="I9" s="8"/>
      <c r="J9" s="8">
        <v>20.3</v>
      </c>
      <c r="K9" s="10"/>
      <c r="L9" s="8"/>
      <c r="M9" s="8"/>
      <c r="N9" s="8"/>
      <c r="O9" s="10"/>
      <c r="P9" s="10"/>
      <c r="Q9" s="8"/>
      <c r="R9" s="8"/>
      <c r="S9" s="9"/>
      <c r="T9" s="8"/>
    </row>
    <row r="10" spans="1:20">
      <c r="A10" s="11" t="s">
        <v>95</v>
      </c>
      <c r="B10" s="12" t="s">
        <v>105</v>
      </c>
      <c r="C10" s="26" t="s">
        <v>106</v>
      </c>
      <c r="D10" s="11" t="s">
        <v>70</v>
      </c>
      <c r="E10" s="12" t="s">
        <v>107</v>
      </c>
      <c r="F10" s="11"/>
      <c r="G10" s="11">
        <v>0</v>
      </c>
      <c r="H10" s="11">
        <v>0</v>
      </c>
      <c r="I10" s="11">
        <v>0</v>
      </c>
      <c r="J10" s="11">
        <v>4.69</v>
      </c>
      <c r="K10" s="14"/>
      <c r="L10" s="11"/>
      <c r="M10" s="11"/>
      <c r="N10" s="11"/>
      <c r="O10" s="14"/>
      <c r="P10" s="14"/>
      <c r="Q10" s="11"/>
      <c r="R10" s="11"/>
      <c r="S10" s="13"/>
      <c r="T10" s="11"/>
    </row>
    <row r="11" spans="1:20">
      <c r="D11" s="11"/>
      <c r="E11" s="11"/>
      <c r="F11" s="13"/>
      <c r="G11" s="11"/>
      <c r="H11" s="11"/>
    </row>
    <row r="13" ht="17.6" customHeight="1" spans="1:20">
      <c r="A13" s="15" t="s">
        <v>108</v>
      </c>
    </row>
    <row r="14" spans="1:20">
      <c r="A14" s="16" t="s">
        <v>109</v>
      </c>
      <c r="B14" s="17">
        <f>SUM(H2:H5)</f>
        <v>34719.58</v>
      </c>
    </row>
    <row r="15" spans="1:20">
      <c r="A15" s="16" t="s">
        <v>110</v>
      </c>
      <c r="B15" s="17">
        <f>SUMPRODUCT(J2:J5,G2:G5)</f>
        <v>26736.2</v>
      </c>
    </row>
    <row r="16" ht="17" customHeight="1" spans="1:20">
      <c r="A16" s="16" t="s">
        <v>111</v>
      </c>
      <c r="B16" s="18">
        <f>B15-B14</f>
        <v>-7983.38</v>
      </c>
    </row>
    <row r="17" spans="1:2">
      <c r="A17" s="16" t="s">
        <v>112</v>
      </c>
      <c r="B17" s="19">
        <f>IFERROR(B16/B14,"")</f>
        <v>-0.229938841426077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40"/>
  <sheetViews>
    <sheetView tabSelected="1" workbookViewId="0">
      <pane ySplit="1" topLeftCell="A423" activePane="bottomLeft" state="frozen"/>
      <selection/>
      <selection pane="bottomLeft" activeCell="H438" sqref="H438"/>
    </sheetView>
  </sheetViews>
  <sheetFormatPr defaultColWidth="8.6796875" defaultRowHeight="16.8"/>
  <cols>
    <col min="1" max="1" width="12" customWidth="1"/>
    <col min="2" max="2" width="10" customWidth="1"/>
    <col min="3" max="3" width="12" customWidth="1"/>
    <col min="4" max="4" width="10" customWidth="1"/>
    <col min="5" max="5" width="9" customWidth="1"/>
    <col min="6" max="6" width="11" customWidth="1"/>
    <col min="7" max="7" width="10" customWidth="1"/>
    <col min="8" max="9" width="14" customWidth="1"/>
    <col min="10" max="10" width="13" customWidth="1"/>
    <col min="11" max="11" width="14" customWidth="1"/>
    <col min="12" max="12" width="13" customWidth="1"/>
    <col min="13" max="16" width="9" customWidth="1"/>
    <col min="17" max="17" width="10" customWidth="1"/>
    <col min="18" max="18" width="30" customWidth="1"/>
  </cols>
  <sheetData>
    <row r="1" ht="17" customHeight="1" spans="1:18">
      <c r="A1" s="5" t="s">
        <v>113</v>
      </c>
      <c r="B1" s="5" t="s">
        <v>114</v>
      </c>
      <c r="C1" s="5" t="s">
        <v>48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119</v>
      </c>
      <c r="I1" s="5" t="s">
        <v>120</v>
      </c>
      <c r="J1" s="5" t="s">
        <v>121</v>
      </c>
      <c r="K1" s="5" t="s">
        <v>122</v>
      </c>
      <c r="L1" s="5" t="s">
        <v>123</v>
      </c>
      <c r="M1" s="6" t="s">
        <v>124</v>
      </c>
      <c r="N1" s="6" t="s">
        <v>125</v>
      </c>
      <c r="O1" s="6" t="s">
        <v>126</v>
      </c>
      <c r="P1" s="6" t="s">
        <v>127</v>
      </c>
      <c r="Q1" s="6" t="s">
        <v>128</v>
      </c>
      <c r="R1" s="5" t="s">
        <v>129</v>
      </c>
    </row>
    <row r="2" spans="1:18">
      <c r="A2" t="s">
        <v>130</v>
      </c>
      <c r="B2" t="s">
        <v>69</v>
      </c>
      <c r="C2" t="s">
        <v>68</v>
      </c>
      <c r="D2">
        <v>34.65</v>
      </c>
      <c r="E2">
        <v>-4.04</v>
      </c>
      <c r="F2">
        <v>8.75</v>
      </c>
      <c r="M2">
        <v>36.04</v>
      </c>
      <c r="N2">
        <v>37.13</v>
      </c>
      <c r="O2">
        <v>38.85</v>
      </c>
      <c r="P2">
        <v>37.44</v>
      </c>
      <c r="Q2">
        <v>22.36</v>
      </c>
      <c r="R2" t="s">
        <v>131</v>
      </c>
    </row>
    <row r="3" spans="1:18">
      <c r="A3" t="s">
        <v>130</v>
      </c>
      <c r="B3" t="s">
        <v>76</v>
      </c>
      <c r="C3" t="s">
        <v>75</v>
      </c>
      <c r="D3">
        <v>7.83</v>
      </c>
      <c r="E3">
        <v>-5.43</v>
      </c>
      <c r="F3">
        <v>1.94</v>
      </c>
      <c r="M3">
        <v>8.41</v>
      </c>
      <c r="N3">
        <v>8.7</v>
      </c>
      <c r="O3">
        <v>9.06</v>
      </c>
      <c r="P3">
        <v>9.66</v>
      </c>
      <c r="Q3">
        <v>24.88</v>
      </c>
      <c r="R3" t="s">
        <v>132</v>
      </c>
    </row>
    <row r="4" spans="1:18">
      <c r="A4" t="s">
        <v>130</v>
      </c>
      <c r="B4" t="s">
        <v>133</v>
      </c>
      <c r="C4" t="s">
        <v>82</v>
      </c>
      <c r="D4">
        <v>9.74</v>
      </c>
      <c r="E4">
        <v>-3.94</v>
      </c>
      <c r="F4">
        <v>1.39</v>
      </c>
      <c r="M4">
        <v>10.21</v>
      </c>
      <c r="N4">
        <v>10.42</v>
      </c>
      <c r="O4">
        <v>10.74</v>
      </c>
      <c r="P4">
        <v>11.42</v>
      </c>
      <c r="Q4">
        <v>18.18</v>
      </c>
      <c r="R4" t="s">
        <v>134</v>
      </c>
    </row>
    <row r="5" spans="1:18">
      <c r="A5" t="s">
        <v>130</v>
      </c>
      <c r="B5" t="s">
        <v>88</v>
      </c>
      <c r="C5" t="s">
        <v>87</v>
      </c>
      <c r="D5">
        <v>8.49</v>
      </c>
      <c r="E5">
        <v>-5.77</v>
      </c>
      <c r="F5">
        <v>8.3</v>
      </c>
      <c r="M5">
        <v>9.18</v>
      </c>
      <c r="N5">
        <v>9.52</v>
      </c>
      <c r="O5">
        <v>9.7</v>
      </c>
      <c r="P5">
        <v>9.74</v>
      </c>
      <c r="Q5">
        <v>24.37</v>
      </c>
      <c r="R5" t="s">
        <v>135</v>
      </c>
    </row>
    <row r="6" spans="1:18">
      <c r="A6" t="s">
        <v>130</v>
      </c>
      <c r="B6" t="s">
        <v>136</v>
      </c>
      <c r="C6" t="s">
        <v>92</v>
      </c>
      <c r="D6">
        <v>7.19</v>
      </c>
      <c r="E6">
        <v>4.66</v>
      </c>
      <c r="F6">
        <v>15.43</v>
      </c>
      <c r="M6">
        <v>7.02</v>
      </c>
      <c r="N6">
        <v>7.29</v>
      </c>
      <c r="O6">
        <v>7.8</v>
      </c>
      <c r="P6">
        <v>7.78</v>
      </c>
      <c r="Q6">
        <v>39.38</v>
      </c>
      <c r="R6" t="s">
        <v>137</v>
      </c>
    </row>
    <row r="7" spans="1:18">
      <c r="A7" t="s">
        <v>130</v>
      </c>
      <c r="B7" t="s">
        <v>100</v>
      </c>
      <c r="C7" t="s">
        <v>99</v>
      </c>
      <c r="D7">
        <v>2.53</v>
      </c>
      <c r="E7">
        <v>-5.95</v>
      </c>
      <c r="F7">
        <v>1.72</v>
      </c>
      <c r="M7">
        <v>2.74</v>
      </c>
      <c r="N7">
        <v>2.8</v>
      </c>
      <c r="O7">
        <v>2.84</v>
      </c>
      <c r="P7">
        <v>2.89</v>
      </c>
      <c r="Q7">
        <v>31.67</v>
      </c>
      <c r="R7" t="s">
        <v>138</v>
      </c>
    </row>
    <row r="8" spans="1:18">
      <c r="A8" t="s">
        <v>130</v>
      </c>
      <c r="B8" t="s">
        <v>103</v>
      </c>
      <c r="C8" t="s">
        <v>102</v>
      </c>
      <c r="D8">
        <v>14.34</v>
      </c>
      <c r="E8">
        <v>-8.43</v>
      </c>
      <c r="F8">
        <v>15.13</v>
      </c>
      <c r="M8">
        <v>15.57</v>
      </c>
      <c r="N8">
        <v>16.18</v>
      </c>
      <c r="O8">
        <v>16.15</v>
      </c>
      <c r="P8">
        <v>15.91</v>
      </c>
      <c r="Q8">
        <v>42.3</v>
      </c>
      <c r="R8" t="s">
        <v>139</v>
      </c>
    </row>
    <row r="9" spans="1:18">
      <c r="A9" t="s">
        <v>130</v>
      </c>
      <c r="B9" t="s">
        <v>140</v>
      </c>
      <c r="C9" t="s">
        <v>141</v>
      </c>
      <c r="D9">
        <v>9.15</v>
      </c>
      <c r="E9">
        <v>-1.82</v>
      </c>
      <c r="F9">
        <v>1.92</v>
      </c>
      <c r="M9">
        <v>9.28</v>
      </c>
      <c r="N9">
        <v>9.68</v>
      </c>
      <c r="O9">
        <v>9.74</v>
      </c>
      <c r="P9">
        <v>8.57</v>
      </c>
      <c r="Q9">
        <v>44.07</v>
      </c>
      <c r="R9" t="s">
        <v>137</v>
      </c>
    </row>
    <row r="10" spans="1:18">
      <c r="A10" t="s">
        <v>142</v>
      </c>
      <c r="B10" t="s">
        <v>69</v>
      </c>
      <c r="C10" t="s">
        <v>68</v>
      </c>
      <c r="D10">
        <v>34.85</v>
      </c>
      <c r="E10">
        <v>0.58</v>
      </c>
      <c r="F10">
        <v>7.64</v>
      </c>
      <c r="M10">
        <v>35.47</v>
      </c>
      <c r="N10">
        <v>36.56</v>
      </c>
      <c r="O10">
        <v>38.52</v>
      </c>
      <c r="P10">
        <v>37.46</v>
      </c>
      <c r="Q10">
        <v>24.86</v>
      </c>
      <c r="R10" t="s">
        <v>137</v>
      </c>
    </row>
    <row r="11" spans="1:18">
      <c r="A11" t="s">
        <v>142</v>
      </c>
      <c r="B11" t="s">
        <v>76</v>
      </c>
      <c r="C11" t="s">
        <v>75</v>
      </c>
      <c r="D11">
        <v>8.15</v>
      </c>
      <c r="E11">
        <v>4.09</v>
      </c>
      <c r="F11">
        <v>1.6</v>
      </c>
      <c r="M11">
        <v>8.31</v>
      </c>
      <c r="N11">
        <v>8.59</v>
      </c>
      <c r="O11">
        <v>8.98</v>
      </c>
      <c r="P11">
        <v>9.65</v>
      </c>
      <c r="Q11">
        <v>34.69</v>
      </c>
      <c r="R11" t="s">
        <v>143</v>
      </c>
    </row>
    <row r="12" spans="1:18">
      <c r="A12" t="s">
        <v>142</v>
      </c>
      <c r="B12" t="s">
        <v>133</v>
      </c>
      <c r="C12" t="s">
        <v>82</v>
      </c>
      <c r="D12">
        <v>9.94</v>
      </c>
      <c r="E12">
        <v>2.05</v>
      </c>
      <c r="F12">
        <v>0.87</v>
      </c>
      <c r="M12">
        <v>10.09</v>
      </c>
      <c r="N12">
        <v>10.34</v>
      </c>
      <c r="O12">
        <v>10.66</v>
      </c>
      <c r="P12">
        <v>11.39</v>
      </c>
      <c r="Q12">
        <v>29.89</v>
      </c>
      <c r="R12" t="s">
        <v>137</v>
      </c>
    </row>
    <row r="13" spans="1:18">
      <c r="A13" t="s">
        <v>142</v>
      </c>
      <c r="B13" t="s">
        <v>88</v>
      </c>
      <c r="C13" t="s">
        <v>87</v>
      </c>
      <c r="D13">
        <v>8.68</v>
      </c>
      <c r="E13">
        <v>2.24</v>
      </c>
      <c r="F13">
        <v>5.19</v>
      </c>
      <c r="M13">
        <v>9.01</v>
      </c>
      <c r="N13">
        <v>9.4</v>
      </c>
      <c r="O13">
        <v>9.65</v>
      </c>
      <c r="P13">
        <v>9.74</v>
      </c>
      <c r="Q13">
        <v>30.68</v>
      </c>
      <c r="R13" t="s">
        <v>144</v>
      </c>
    </row>
    <row r="14" spans="1:18">
      <c r="A14" t="s">
        <v>142</v>
      </c>
      <c r="B14" t="s">
        <v>136</v>
      </c>
      <c r="C14" t="s">
        <v>92</v>
      </c>
      <c r="D14">
        <v>7.3</v>
      </c>
      <c r="E14">
        <v>1.53</v>
      </c>
      <c r="F14">
        <v>13.45</v>
      </c>
      <c r="M14">
        <v>7.06</v>
      </c>
      <c r="N14">
        <v>7.22</v>
      </c>
      <c r="O14">
        <v>7.69</v>
      </c>
      <c r="P14">
        <v>7.81</v>
      </c>
      <c r="Q14">
        <v>43.07</v>
      </c>
      <c r="R14" t="s">
        <v>137</v>
      </c>
    </row>
    <row r="15" spans="1:18">
      <c r="A15" t="s">
        <v>142</v>
      </c>
      <c r="B15" t="s">
        <v>100</v>
      </c>
      <c r="C15" t="s">
        <v>99</v>
      </c>
      <c r="D15">
        <v>2.64</v>
      </c>
      <c r="E15">
        <v>4.35</v>
      </c>
      <c r="F15">
        <v>1.43</v>
      </c>
      <c r="M15">
        <v>2.7</v>
      </c>
      <c r="N15">
        <v>2.77</v>
      </c>
      <c r="O15">
        <v>2.83</v>
      </c>
      <c r="P15">
        <v>2.89</v>
      </c>
      <c r="Q15">
        <v>35.94</v>
      </c>
      <c r="R15" t="s">
        <v>145</v>
      </c>
    </row>
    <row r="16" spans="1:18">
      <c r="A16" t="s">
        <v>142</v>
      </c>
      <c r="B16" t="s">
        <v>103</v>
      </c>
      <c r="C16" t="s">
        <v>102</v>
      </c>
      <c r="D16">
        <v>14.72</v>
      </c>
      <c r="E16">
        <v>2.65</v>
      </c>
      <c r="F16">
        <v>10.06</v>
      </c>
      <c r="M16">
        <v>15.36</v>
      </c>
      <c r="N16">
        <v>15.95</v>
      </c>
      <c r="O16">
        <v>16.07</v>
      </c>
      <c r="P16">
        <v>15.93</v>
      </c>
      <c r="Q16">
        <v>46.43</v>
      </c>
      <c r="R16" t="s">
        <v>146</v>
      </c>
    </row>
    <row r="17" spans="1:18">
      <c r="A17" t="s">
        <v>142</v>
      </c>
      <c r="B17" t="s">
        <v>140</v>
      </c>
      <c r="C17" t="s">
        <v>141</v>
      </c>
      <c r="D17">
        <v>9.52</v>
      </c>
      <c r="E17">
        <v>4.04</v>
      </c>
      <c r="F17">
        <v>2.56</v>
      </c>
      <c r="M17">
        <v>9.32</v>
      </c>
      <c r="N17">
        <v>9.6</v>
      </c>
      <c r="O17">
        <v>9.79</v>
      </c>
      <c r="P17">
        <v>8.61</v>
      </c>
      <c r="Q17">
        <v>37.62</v>
      </c>
      <c r="R17" t="s">
        <v>137</v>
      </c>
    </row>
    <row r="18" spans="1:18">
      <c r="A18" t="s">
        <v>147</v>
      </c>
      <c r="B18" t="s">
        <v>69</v>
      </c>
      <c r="C18" t="s">
        <v>68</v>
      </c>
      <c r="D18">
        <v>35.67</v>
      </c>
      <c r="E18">
        <v>2.35</v>
      </c>
      <c r="F18">
        <v>6.42</v>
      </c>
      <c r="M18">
        <v>34.91</v>
      </c>
      <c r="N18">
        <v>36.17</v>
      </c>
      <c r="O18">
        <v>38.2</v>
      </c>
      <c r="P18">
        <v>37.48</v>
      </c>
      <c r="Q18">
        <v>30</v>
      </c>
      <c r="R18" t="s">
        <v>137</v>
      </c>
    </row>
    <row r="19" spans="1:18">
      <c r="A19" t="s">
        <v>147</v>
      </c>
      <c r="B19" t="s">
        <v>76</v>
      </c>
      <c r="C19" t="s">
        <v>75</v>
      </c>
      <c r="D19">
        <v>8.25</v>
      </c>
      <c r="E19">
        <v>1.23</v>
      </c>
      <c r="F19">
        <v>1.28</v>
      </c>
      <c r="M19">
        <v>8.21</v>
      </c>
      <c r="N19">
        <v>8.5</v>
      </c>
      <c r="O19">
        <v>8.9</v>
      </c>
      <c r="P19">
        <v>9.63</v>
      </c>
      <c r="Q19">
        <v>30.13</v>
      </c>
      <c r="R19" t="s">
        <v>143</v>
      </c>
    </row>
    <row r="20" spans="1:18">
      <c r="A20" t="s">
        <v>147</v>
      </c>
      <c r="B20" t="s">
        <v>133</v>
      </c>
      <c r="C20" t="s">
        <v>82</v>
      </c>
      <c r="D20">
        <v>10</v>
      </c>
      <c r="E20">
        <v>0.6</v>
      </c>
      <c r="F20">
        <v>0.77</v>
      </c>
      <c r="M20">
        <v>10</v>
      </c>
      <c r="N20">
        <v>10.27</v>
      </c>
      <c r="O20">
        <v>10.58</v>
      </c>
      <c r="P20">
        <v>11.37</v>
      </c>
      <c r="Q20">
        <v>30.29</v>
      </c>
      <c r="R20" t="s">
        <v>137</v>
      </c>
    </row>
    <row r="21" spans="1:18">
      <c r="A21" t="s">
        <v>147</v>
      </c>
      <c r="B21" t="s">
        <v>88</v>
      </c>
      <c r="C21" t="s">
        <v>87</v>
      </c>
      <c r="D21">
        <v>8.84</v>
      </c>
      <c r="E21">
        <v>1.84</v>
      </c>
      <c r="F21">
        <v>5.48</v>
      </c>
      <c r="M21">
        <v>8.85</v>
      </c>
      <c r="N21">
        <v>9.27</v>
      </c>
      <c r="O21">
        <v>9.6</v>
      </c>
      <c r="P21">
        <v>9.74</v>
      </c>
      <c r="Q21">
        <v>33.59</v>
      </c>
      <c r="R21" t="s">
        <v>137</v>
      </c>
    </row>
    <row r="22" spans="1:18">
      <c r="A22" t="s">
        <v>147</v>
      </c>
      <c r="B22" t="s">
        <v>136</v>
      </c>
      <c r="C22" t="s">
        <v>92</v>
      </c>
      <c r="D22">
        <v>7.32</v>
      </c>
      <c r="E22">
        <v>0.27</v>
      </c>
      <c r="F22">
        <v>10.14</v>
      </c>
      <c r="M22">
        <v>7.11</v>
      </c>
      <c r="N22">
        <v>7.18</v>
      </c>
      <c r="O22">
        <v>7.61</v>
      </c>
      <c r="P22">
        <v>7.84</v>
      </c>
      <c r="Q22">
        <v>42.21</v>
      </c>
      <c r="R22" t="s">
        <v>137</v>
      </c>
    </row>
    <row r="23" spans="1:18">
      <c r="A23" t="s">
        <v>147</v>
      </c>
      <c r="B23" t="s">
        <v>100</v>
      </c>
      <c r="C23" t="s">
        <v>99</v>
      </c>
      <c r="D23">
        <v>2.68</v>
      </c>
      <c r="E23">
        <v>1.52</v>
      </c>
      <c r="F23">
        <v>1.09</v>
      </c>
      <c r="M23">
        <v>2.67</v>
      </c>
      <c r="N23">
        <v>2.75</v>
      </c>
      <c r="O23">
        <v>2.81</v>
      </c>
      <c r="P23">
        <v>2.88</v>
      </c>
      <c r="Q23">
        <v>36.92</v>
      </c>
      <c r="R23" t="s">
        <v>145</v>
      </c>
    </row>
    <row r="24" spans="1:18">
      <c r="A24" t="s">
        <v>147</v>
      </c>
      <c r="B24" t="s">
        <v>103</v>
      </c>
      <c r="C24" t="s">
        <v>102</v>
      </c>
      <c r="D24">
        <v>15.08</v>
      </c>
      <c r="E24">
        <v>2.45</v>
      </c>
      <c r="F24">
        <v>13.48</v>
      </c>
      <c r="M24">
        <v>15.15</v>
      </c>
      <c r="N24">
        <v>15.76</v>
      </c>
      <c r="O24">
        <v>16.01</v>
      </c>
      <c r="P24">
        <v>15.95</v>
      </c>
      <c r="Q24">
        <v>45.32</v>
      </c>
      <c r="R24" t="s">
        <v>146</v>
      </c>
    </row>
    <row r="25" spans="1:18">
      <c r="A25" t="s">
        <v>147</v>
      </c>
      <c r="B25" t="s">
        <v>140</v>
      </c>
      <c r="C25" t="s">
        <v>141</v>
      </c>
      <c r="D25">
        <v>9.79</v>
      </c>
      <c r="E25">
        <v>2.84</v>
      </c>
      <c r="F25">
        <v>3.6</v>
      </c>
      <c r="M25">
        <v>9.41</v>
      </c>
      <c r="N25">
        <v>9.58</v>
      </c>
      <c r="O25">
        <v>9.86</v>
      </c>
      <c r="P25">
        <v>8.66</v>
      </c>
      <c r="Q25">
        <v>31.21</v>
      </c>
      <c r="R25" t="s">
        <v>137</v>
      </c>
    </row>
    <row r="26" spans="1:18">
      <c r="A26" t="s">
        <v>148</v>
      </c>
      <c r="B26" t="s">
        <v>69</v>
      </c>
      <c r="C26" t="s">
        <v>68</v>
      </c>
      <c r="D26">
        <v>34.94</v>
      </c>
      <c r="E26">
        <v>-2.05</v>
      </c>
      <c r="F26">
        <v>4.33</v>
      </c>
      <c r="M26">
        <v>34.42</v>
      </c>
      <c r="N26">
        <v>35.83</v>
      </c>
      <c r="O26">
        <v>37.8</v>
      </c>
      <c r="P26">
        <v>37.47</v>
      </c>
      <c r="Q26">
        <v>29.29</v>
      </c>
      <c r="R26" t="s">
        <v>137</v>
      </c>
    </row>
    <row r="27" spans="1:18">
      <c r="A27" t="s">
        <v>148</v>
      </c>
      <c r="B27" t="s">
        <v>76</v>
      </c>
      <c r="C27" t="s">
        <v>75</v>
      </c>
      <c r="D27">
        <v>8.05</v>
      </c>
      <c r="E27">
        <v>-2.42</v>
      </c>
      <c r="F27">
        <v>0.97</v>
      </c>
      <c r="M27">
        <v>8.11</v>
      </c>
      <c r="N27">
        <v>8.41</v>
      </c>
      <c r="O27">
        <v>8.81</v>
      </c>
      <c r="P27">
        <v>9.61</v>
      </c>
      <c r="Q27">
        <v>27.94</v>
      </c>
      <c r="R27" t="s">
        <v>143</v>
      </c>
    </row>
    <row r="28" spans="1:18">
      <c r="A28" t="s">
        <v>148</v>
      </c>
      <c r="B28" t="s">
        <v>133</v>
      </c>
      <c r="C28" t="s">
        <v>82</v>
      </c>
      <c r="D28">
        <v>9.91</v>
      </c>
      <c r="E28">
        <v>-0.9</v>
      </c>
      <c r="F28">
        <v>0.69</v>
      </c>
      <c r="M28">
        <v>9.95</v>
      </c>
      <c r="N28">
        <v>10.2</v>
      </c>
      <c r="O28">
        <v>10.5</v>
      </c>
      <c r="P28">
        <v>11.35</v>
      </c>
      <c r="Q28">
        <v>24.71</v>
      </c>
      <c r="R28" t="s">
        <v>137</v>
      </c>
    </row>
    <row r="29" spans="1:18">
      <c r="A29" t="s">
        <v>148</v>
      </c>
      <c r="B29" t="s">
        <v>88</v>
      </c>
      <c r="C29" t="s">
        <v>87</v>
      </c>
      <c r="D29">
        <v>8.67</v>
      </c>
      <c r="E29">
        <v>-1.92</v>
      </c>
      <c r="F29">
        <v>4.24</v>
      </c>
      <c r="M29">
        <v>8.74</v>
      </c>
      <c r="N29">
        <v>9.15</v>
      </c>
      <c r="O29">
        <v>9.54</v>
      </c>
      <c r="P29">
        <v>9.73</v>
      </c>
      <c r="Q29">
        <v>26.54</v>
      </c>
      <c r="R29" t="s">
        <v>149</v>
      </c>
    </row>
    <row r="30" spans="1:18">
      <c r="A30" t="s">
        <v>148</v>
      </c>
      <c r="B30" t="s">
        <v>136</v>
      </c>
      <c r="C30" t="s">
        <v>92</v>
      </c>
      <c r="D30">
        <v>6.95</v>
      </c>
      <c r="E30">
        <v>-5.05</v>
      </c>
      <c r="F30">
        <v>7.34</v>
      </c>
      <c r="M30">
        <v>7.13</v>
      </c>
      <c r="N30">
        <v>7.12</v>
      </c>
      <c r="O30">
        <v>7.52</v>
      </c>
      <c r="P30">
        <v>7.86</v>
      </c>
      <c r="Q30">
        <v>34.76</v>
      </c>
      <c r="R30" t="s">
        <v>150</v>
      </c>
    </row>
    <row r="31" spans="1:18">
      <c r="A31" t="s">
        <v>148</v>
      </c>
      <c r="B31" t="s">
        <v>100</v>
      </c>
      <c r="C31" t="s">
        <v>99</v>
      </c>
      <c r="D31">
        <v>2.61</v>
      </c>
      <c r="E31">
        <v>-2.61</v>
      </c>
      <c r="F31">
        <v>1.04</v>
      </c>
      <c r="M31">
        <v>2.63</v>
      </c>
      <c r="N31">
        <v>2.73</v>
      </c>
      <c r="O31">
        <v>2.79</v>
      </c>
      <c r="P31">
        <v>2.88</v>
      </c>
      <c r="Q31">
        <v>29.41</v>
      </c>
      <c r="R31" t="s">
        <v>145</v>
      </c>
    </row>
    <row r="32" spans="1:18">
      <c r="A32" t="s">
        <v>148</v>
      </c>
      <c r="B32" t="s">
        <v>103</v>
      </c>
      <c r="C32" t="s">
        <v>102</v>
      </c>
      <c r="D32">
        <v>15.41</v>
      </c>
      <c r="E32">
        <v>2.19</v>
      </c>
      <c r="F32">
        <v>23.2</v>
      </c>
      <c r="M32">
        <v>15.04</v>
      </c>
      <c r="N32">
        <v>15.59</v>
      </c>
      <c r="O32">
        <v>15.96</v>
      </c>
      <c r="P32">
        <v>15.97</v>
      </c>
      <c r="Q32">
        <v>47.89</v>
      </c>
      <c r="R32" t="s">
        <v>146</v>
      </c>
    </row>
    <row r="33" spans="1:18">
      <c r="A33" t="s">
        <v>148</v>
      </c>
      <c r="B33" t="s">
        <v>140</v>
      </c>
      <c r="C33" t="s">
        <v>141</v>
      </c>
      <c r="D33">
        <v>10.2</v>
      </c>
      <c r="E33">
        <v>4.19</v>
      </c>
      <c r="F33">
        <v>4.57</v>
      </c>
      <c r="M33">
        <v>9.6</v>
      </c>
      <c r="N33">
        <v>9.53</v>
      </c>
      <c r="O33">
        <v>9.93</v>
      </c>
      <c r="P33">
        <v>8.71</v>
      </c>
      <c r="Q33">
        <v>41.87</v>
      </c>
      <c r="R33" t="s">
        <v>137</v>
      </c>
    </row>
    <row r="34" spans="1:18">
      <c r="A34" t="s">
        <v>151</v>
      </c>
      <c r="B34" t="s">
        <v>69</v>
      </c>
      <c r="C34" t="s">
        <v>68</v>
      </c>
      <c r="D34">
        <v>34.88</v>
      </c>
      <c r="E34">
        <v>-0.17</v>
      </c>
      <c r="F34">
        <v>3.5</v>
      </c>
      <c r="M34">
        <v>34.18</v>
      </c>
      <c r="N34">
        <v>35.5</v>
      </c>
      <c r="O34">
        <v>37.47</v>
      </c>
      <c r="P34">
        <v>37.47</v>
      </c>
      <c r="Q34">
        <v>33.19</v>
      </c>
      <c r="R34" t="s">
        <v>137</v>
      </c>
    </row>
    <row r="35" spans="1:18">
      <c r="A35" t="s">
        <v>151</v>
      </c>
      <c r="B35" t="s">
        <v>76</v>
      </c>
      <c r="C35" t="s">
        <v>75</v>
      </c>
      <c r="D35">
        <v>8.22</v>
      </c>
      <c r="E35">
        <v>2.11</v>
      </c>
      <c r="F35">
        <v>1.54</v>
      </c>
      <c r="M35">
        <v>8.1</v>
      </c>
      <c r="N35">
        <v>8.36</v>
      </c>
      <c r="O35">
        <v>8.73</v>
      </c>
      <c r="P35">
        <v>9.6</v>
      </c>
      <c r="Q35">
        <v>33.08</v>
      </c>
      <c r="R35" t="s">
        <v>143</v>
      </c>
    </row>
    <row r="36" spans="1:18">
      <c r="A36" t="s">
        <v>151</v>
      </c>
      <c r="B36" t="s">
        <v>133</v>
      </c>
      <c r="C36" t="s">
        <v>82</v>
      </c>
      <c r="D36">
        <v>10</v>
      </c>
      <c r="E36">
        <v>0.91</v>
      </c>
      <c r="F36">
        <v>0.6</v>
      </c>
      <c r="M36">
        <v>9.92</v>
      </c>
      <c r="N36">
        <v>10.14</v>
      </c>
      <c r="O36">
        <v>10.44</v>
      </c>
      <c r="P36">
        <v>11.32</v>
      </c>
      <c r="Q36">
        <v>32.1</v>
      </c>
      <c r="R36" t="s">
        <v>137</v>
      </c>
    </row>
    <row r="37" spans="1:18">
      <c r="A37" t="s">
        <v>151</v>
      </c>
      <c r="B37" t="s">
        <v>88</v>
      </c>
      <c r="C37" t="s">
        <v>87</v>
      </c>
      <c r="D37">
        <v>8.73</v>
      </c>
      <c r="E37">
        <v>0.69</v>
      </c>
      <c r="F37">
        <v>3.72</v>
      </c>
      <c r="M37">
        <v>8.68</v>
      </c>
      <c r="N37">
        <v>9.05</v>
      </c>
      <c r="O37">
        <v>9.46</v>
      </c>
      <c r="P37">
        <v>9.72</v>
      </c>
      <c r="Q37">
        <v>25.68</v>
      </c>
      <c r="R37" t="s">
        <v>152</v>
      </c>
    </row>
    <row r="38" spans="1:18">
      <c r="A38" t="s">
        <v>151</v>
      </c>
      <c r="B38" t="s">
        <v>136</v>
      </c>
      <c r="C38" t="s">
        <v>92</v>
      </c>
      <c r="D38">
        <v>6.96</v>
      </c>
      <c r="E38">
        <v>0.14</v>
      </c>
      <c r="F38">
        <v>5.42</v>
      </c>
      <c r="M38">
        <v>7.14</v>
      </c>
      <c r="N38">
        <v>7.07</v>
      </c>
      <c r="O38">
        <v>7.4</v>
      </c>
      <c r="P38">
        <v>7.88</v>
      </c>
      <c r="Q38">
        <v>34.48</v>
      </c>
      <c r="R38" t="s">
        <v>137</v>
      </c>
    </row>
    <row r="39" spans="1:18">
      <c r="A39" t="s">
        <v>151</v>
      </c>
      <c r="B39" t="s">
        <v>100</v>
      </c>
      <c r="C39" t="s">
        <v>99</v>
      </c>
      <c r="D39">
        <v>2.64</v>
      </c>
      <c r="E39">
        <v>1.15</v>
      </c>
      <c r="F39">
        <v>0.76</v>
      </c>
      <c r="M39">
        <v>2.62</v>
      </c>
      <c r="N39">
        <v>2.71</v>
      </c>
      <c r="O39">
        <v>2.78</v>
      </c>
      <c r="P39">
        <v>2.88</v>
      </c>
      <c r="Q39">
        <v>32.86</v>
      </c>
      <c r="R39" t="s">
        <v>145</v>
      </c>
    </row>
    <row r="40" spans="1:18">
      <c r="A40" t="s">
        <v>151</v>
      </c>
      <c r="B40" t="s">
        <v>103</v>
      </c>
      <c r="C40" t="s">
        <v>102</v>
      </c>
      <c r="D40">
        <v>15.07</v>
      </c>
      <c r="E40">
        <v>-2.21</v>
      </c>
      <c r="F40">
        <v>12.93</v>
      </c>
      <c r="M40">
        <v>14.92</v>
      </c>
      <c r="N40">
        <v>15.46</v>
      </c>
      <c r="O40">
        <v>15.89</v>
      </c>
      <c r="P40">
        <v>15.99</v>
      </c>
      <c r="Q40">
        <v>29.68</v>
      </c>
      <c r="R40" t="s">
        <v>146</v>
      </c>
    </row>
    <row r="41" spans="1:18">
      <c r="A41" t="s">
        <v>151</v>
      </c>
      <c r="B41" t="s">
        <v>140</v>
      </c>
      <c r="C41" t="s">
        <v>141</v>
      </c>
      <c r="D41">
        <v>9.86</v>
      </c>
      <c r="E41">
        <v>-3.33</v>
      </c>
      <c r="F41">
        <v>2.94</v>
      </c>
      <c r="M41">
        <v>9.7</v>
      </c>
      <c r="N41">
        <v>9.53</v>
      </c>
      <c r="O41">
        <v>9.98</v>
      </c>
      <c r="P41">
        <v>8.76</v>
      </c>
      <c r="Q41">
        <v>43.57</v>
      </c>
      <c r="R41" t="s">
        <v>153</v>
      </c>
    </row>
    <row r="42" spans="1:18">
      <c r="A42" t="s">
        <v>154</v>
      </c>
      <c r="B42" t="s">
        <v>69</v>
      </c>
      <c r="C42" t="s">
        <v>68</v>
      </c>
      <c r="D42">
        <v>35</v>
      </c>
      <c r="E42">
        <v>0.34</v>
      </c>
      <c r="F42">
        <v>4.56</v>
      </c>
      <c r="M42">
        <v>34.25</v>
      </c>
      <c r="N42">
        <v>35.14</v>
      </c>
      <c r="O42">
        <v>37.05</v>
      </c>
      <c r="P42">
        <v>37.44</v>
      </c>
      <c r="Q42">
        <v>22.62</v>
      </c>
      <c r="R42" t="s">
        <v>137</v>
      </c>
    </row>
    <row r="43" spans="1:18">
      <c r="A43" t="s">
        <v>154</v>
      </c>
      <c r="B43" t="s">
        <v>76</v>
      </c>
      <c r="C43" t="s">
        <v>75</v>
      </c>
      <c r="D43">
        <v>8.27</v>
      </c>
      <c r="E43">
        <v>0.61</v>
      </c>
      <c r="F43">
        <v>1.03</v>
      </c>
      <c r="M43">
        <v>8.19</v>
      </c>
      <c r="N43">
        <v>8.3</v>
      </c>
      <c r="O43">
        <v>8.66</v>
      </c>
      <c r="P43">
        <v>9.59</v>
      </c>
      <c r="Q43">
        <v>30.95</v>
      </c>
      <c r="R43" t="s">
        <v>143</v>
      </c>
    </row>
    <row r="44" spans="1:18">
      <c r="A44" t="s">
        <v>154</v>
      </c>
      <c r="B44" t="s">
        <v>133</v>
      </c>
      <c r="C44" t="s">
        <v>82</v>
      </c>
      <c r="D44">
        <v>10.01</v>
      </c>
      <c r="E44">
        <v>0.1</v>
      </c>
      <c r="F44">
        <v>0.95</v>
      </c>
      <c r="M44">
        <v>9.97</v>
      </c>
      <c r="N44">
        <v>10.09</v>
      </c>
      <c r="O44">
        <v>10.38</v>
      </c>
      <c r="P44">
        <v>11.3</v>
      </c>
      <c r="Q44">
        <v>26.17</v>
      </c>
      <c r="R44" t="s">
        <v>137</v>
      </c>
    </row>
    <row r="45" spans="1:18">
      <c r="A45" t="s">
        <v>154</v>
      </c>
      <c r="B45" t="s">
        <v>88</v>
      </c>
      <c r="C45" t="s">
        <v>87</v>
      </c>
      <c r="D45">
        <v>8.74</v>
      </c>
      <c r="E45">
        <v>0.11</v>
      </c>
      <c r="F45">
        <v>3.88</v>
      </c>
      <c r="M45">
        <v>8.73</v>
      </c>
      <c r="N45">
        <v>8.96</v>
      </c>
      <c r="O45">
        <v>9.39</v>
      </c>
      <c r="P45">
        <v>9.71</v>
      </c>
      <c r="Q45">
        <v>26.59</v>
      </c>
      <c r="R45" t="s">
        <v>155</v>
      </c>
    </row>
    <row r="46" spans="1:18">
      <c r="A46" t="s">
        <v>154</v>
      </c>
      <c r="B46" t="s">
        <v>136</v>
      </c>
      <c r="C46" t="s">
        <v>92</v>
      </c>
      <c r="D46">
        <v>6.84</v>
      </c>
      <c r="E46">
        <v>-1.72</v>
      </c>
      <c r="F46">
        <v>5.97</v>
      </c>
      <c r="M46">
        <v>7.07</v>
      </c>
      <c r="N46">
        <v>7.04</v>
      </c>
      <c r="O46">
        <v>7.32</v>
      </c>
      <c r="P46">
        <v>7.9</v>
      </c>
      <c r="Q46">
        <v>23.72</v>
      </c>
      <c r="R46" t="s">
        <v>137</v>
      </c>
    </row>
    <row r="47" spans="1:18">
      <c r="A47" t="s">
        <v>154</v>
      </c>
      <c r="B47" t="s">
        <v>100</v>
      </c>
      <c r="C47" t="s">
        <v>99</v>
      </c>
      <c r="D47">
        <v>2.65</v>
      </c>
      <c r="E47">
        <v>0.38</v>
      </c>
      <c r="F47">
        <v>0.87</v>
      </c>
      <c r="M47">
        <v>2.64</v>
      </c>
      <c r="N47">
        <v>2.69</v>
      </c>
      <c r="O47">
        <v>2.77</v>
      </c>
      <c r="P47">
        <v>2.88</v>
      </c>
      <c r="Q47">
        <v>32.86</v>
      </c>
      <c r="R47" t="s">
        <v>145</v>
      </c>
    </row>
    <row r="48" spans="1:18">
      <c r="A48" t="s">
        <v>154</v>
      </c>
      <c r="B48" t="s">
        <v>103</v>
      </c>
      <c r="C48" t="s">
        <v>102</v>
      </c>
      <c r="D48">
        <v>14.91</v>
      </c>
      <c r="E48">
        <v>-1.06</v>
      </c>
      <c r="F48">
        <v>7.55</v>
      </c>
      <c r="M48">
        <v>15.04</v>
      </c>
      <c r="N48">
        <v>15.3</v>
      </c>
      <c r="O48">
        <v>15.81</v>
      </c>
      <c r="P48">
        <v>16</v>
      </c>
      <c r="Q48">
        <v>30.19</v>
      </c>
      <c r="R48" t="s">
        <v>146</v>
      </c>
    </row>
    <row r="49" spans="1:18">
      <c r="A49" t="s">
        <v>154</v>
      </c>
      <c r="B49" t="s">
        <v>140</v>
      </c>
      <c r="C49" t="s">
        <v>141</v>
      </c>
      <c r="D49">
        <v>9.4</v>
      </c>
      <c r="E49">
        <v>-4.67</v>
      </c>
      <c r="F49">
        <v>2.43</v>
      </c>
      <c r="M49">
        <v>9.75</v>
      </c>
      <c r="N49">
        <v>9.52</v>
      </c>
      <c r="O49">
        <v>9.96</v>
      </c>
      <c r="P49">
        <v>8.8</v>
      </c>
      <c r="Q49">
        <v>40.63</v>
      </c>
      <c r="R49" t="s">
        <v>156</v>
      </c>
    </row>
    <row r="50" spans="1:18">
      <c r="A50" t="s">
        <v>157</v>
      </c>
      <c r="B50" t="s">
        <v>69</v>
      </c>
      <c r="C50" t="s">
        <v>68</v>
      </c>
      <c r="D50">
        <v>33.88</v>
      </c>
      <c r="E50">
        <v>-3.2</v>
      </c>
      <c r="F50">
        <v>6.02</v>
      </c>
      <c r="M50">
        <v>34.06</v>
      </c>
      <c r="N50">
        <v>34.77</v>
      </c>
      <c r="O50">
        <v>36.66</v>
      </c>
      <c r="P50">
        <v>37.4</v>
      </c>
      <c r="Q50">
        <v>22.2</v>
      </c>
      <c r="R50" t="s">
        <v>158</v>
      </c>
    </row>
    <row r="51" spans="1:18">
      <c r="A51" t="s">
        <v>157</v>
      </c>
      <c r="B51" t="s">
        <v>76</v>
      </c>
      <c r="C51" t="s">
        <v>75</v>
      </c>
      <c r="D51">
        <v>8.23</v>
      </c>
      <c r="E51">
        <v>-0.48</v>
      </c>
      <c r="F51">
        <v>1.08</v>
      </c>
      <c r="M51">
        <v>8.2</v>
      </c>
      <c r="N51">
        <v>8.26</v>
      </c>
      <c r="O51">
        <v>8.62</v>
      </c>
      <c r="P51">
        <v>9.57</v>
      </c>
      <c r="Q51">
        <v>31.58</v>
      </c>
      <c r="R51" t="s">
        <v>143</v>
      </c>
    </row>
    <row r="52" spans="1:18">
      <c r="A52" t="s">
        <v>157</v>
      </c>
      <c r="B52" t="s">
        <v>133</v>
      </c>
      <c r="C52" t="s">
        <v>82</v>
      </c>
      <c r="D52">
        <v>9.98</v>
      </c>
      <c r="E52">
        <v>-0.3</v>
      </c>
      <c r="F52">
        <v>0.64</v>
      </c>
      <c r="M52">
        <v>9.98</v>
      </c>
      <c r="N52">
        <v>10.03</v>
      </c>
      <c r="O52">
        <v>10.34</v>
      </c>
      <c r="P52">
        <v>11.26</v>
      </c>
      <c r="Q52">
        <v>25.83</v>
      </c>
      <c r="R52" t="s">
        <v>137</v>
      </c>
    </row>
    <row r="53" spans="1:18">
      <c r="A53" t="s">
        <v>157</v>
      </c>
      <c r="B53" t="s">
        <v>88</v>
      </c>
      <c r="C53" t="s">
        <v>87</v>
      </c>
      <c r="D53">
        <v>8.67</v>
      </c>
      <c r="E53">
        <v>-0.8</v>
      </c>
      <c r="F53">
        <v>3.66</v>
      </c>
      <c r="M53">
        <v>8.73</v>
      </c>
      <c r="N53">
        <v>8.87</v>
      </c>
      <c r="O53">
        <v>9.34</v>
      </c>
      <c r="P53">
        <v>9.71</v>
      </c>
      <c r="Q53">
        <v>20.66</v>
      </c>
      <c r="R53" t="s">
        <v>149</v>
      </c>
    </row>
    <row r="54" spans="1:18">
      <c r="A54" t="s">
        <v>157</v>
      </c>
      <c r="B54" t="s">
        <v>136</v>
      </c>
      <c r="C54" t="s">
        <v>92</v>
      </c>
      <c r="D54">
        <v>6.56</v>
      </c>
      <c r="E54">
        <v>-4.09</v>
      </c>
      <c r="F54">
        <v>5.57</v>
      </c>
      <c r="M54">
        <v>6.93</v>
      </c>
      <c r="N54">
        <v>7</v>
      </c>
      <c r="O54">
        <v>7.27</v>
      </c>
      <c r="P54">
        <v>7.91</v>
      </c>
      <c r="Q54">
        <v>22.87</v>
      </c>
      <c r="R54" t="s">
        <v>159</v>
      </c>
    </row>
    <row r="55" spans="1:18">
      <c r="A55" t="s">
        <v>157</v>
      </c>
      <c r="B55" t="s">
        <v>100</v>
      </c>
      <c r="C55" t="s">
        <v>99</v>
      </c>
      <c r="D55">
        <v>2.59</v>
      </c>
      <c r="E55">
        <v>-2.26</v>
      </c>
      <c r="F55">
        <v>0.94</v>
      </c>
      <c r="M55">
        <v>2.63</v>
      </c>
      <c r="N55">
        <v>2.67</v>
      </c>
      <c r="O55">
        <v>2.76</v>
      </c>
      <c r="P55">
        <v>2.88</v>
      </c>
      <c r="Q55">
        <v>31.08</v>
      </c>
      <c r="R55" t="s">
        <v>145</v>
      </c>
    </row>
    <row r="56" spans="1:18">
      <c r="A56" t="s">
        <v>157</v>
      </c>
      <c r="B56" t="s">
        <v>103</v>
      </c>
      <c r="C56" t="s">
        <v>102</v>
      </c>
      <c r="D56">
        <v>14.71</v>
      </c>
      <c r="E56">
        <v>-1.34</v>
      </c>
      <c r="F56">
        <v>7.05</v>
      </c>
      <c r="M56">
        <v>15.04</v>
      </c>
      <c r="N56">
        <v>15.2</v>
      </c>
      <c r="O56">
        <v>15.78</v>
      </c>
      <c r="P56">
        <v>16.01</v>
      </c>
      <c r="Q56">
        <v>29.14</v>
      </c>
      <c r="R56" t="s">
        <v>146</v>
      </c>
    </row>
    <row r="57" spans="1:18">
      <c r="A57" t="s">
        <v>157</v>
      </c>
      <c r="B57" t="s">
        <v>140</v>
      </c>
      <c r="C57" t="s">
        <v>141</v>
      </c>
      <c r="D57">
        <v>9.45</v>
      </c>
      <c r="E57">
        <v>0.53</v>
      </c>
      <c r="F57">
        <v>1.67</v>
      </c>
      <c r="M57">
        <v>9.74</v>
      </c>
      <c r="N57">
        <v>9.53</v>
      </c>
      <c r="O57">
        <v>9.94</v>
      </c>
      <c r="P57">
        <v>8.84</v>
      </c>
      <c r="Q57">
        <v>44.3</v>
      </c>
      <c r="R57" t="s">
        <v>137</v>
      </c>
    </row>
    <row r="58" spans="1:18">
      <c r="A58" t="s">
        <v>160</v>
      </c>
      <c r="B58" t="s">
        <v>69</v>
      </c>
      <c r="C58" t="s">
        <v>68</v>
      </c>
      <c r="D58">
        <v>34.03</v>
      </c>
      <c r="E58">
        <v>0.44</v>
      </c>
      <c r="F58">
        <v>4.95</v>
      </c>
      <c r="M58">
        <v>33.9</v>
      </c>
      <c r="N58">
        <v>34.4</v>
      </c>
      <c r="O58">
        <v>36.35</v>
      </c>
      <c r="P58">
        <v>37.37</v>
      </c>
      <c r="Q58">
        <v>32.26</v>
      </c>
      <c r="R58" t="s">
        <v>137</v>
      </c>
    </row>
    <row r="59" spans="1:18">
      <c r="A59" t="s">
        <v>160</v>
      </c>
      <c r="B59" t="s">
        <v>76</v>
      </c>
      <c r="C59" t="s">
        <v>75</v>
      </c>
      <c r="D59">
        <v>8.29</v>
      </c>
      <c r="E59">
        <v>0.73</v>
      </c>
      <c r="F59">
        <v>0.92</v>
      </c>
      <c r="M59">
        <v>8.21</v>
      </c>
      <c r="N59">
        <v>8.21</v>
      </c>
      <c r="O59">
        <v>8.59</v>
      </c>
      <c r="P59">
        <v>9.56</v>
      </c>
      <c r="Q59">
        <v>35.59</v>
      </c>
      <c r="R59" t="s">
        <v>143</v>
      </c>
    </row>
    <row r="60" spans="1:18">
      <c r="A60" t="s">
        <v>160</v>
      </c>
      <c r="B60" t="s">
        <v>133</v>
      </c>
      <c r="C60" t="s">
        <v>82</v>
      </c>
      <c r="D60">
        <v>10.25</v>
      </c>
      <c r="E60">
        <v>2.71</v>
      </c>
      <c r="F60">
        <v>1.06</v>
      </c>
      <c r="M60">
        <v>10.03</v>
      </c>
      <c r="N60">
        <v>10.02</v>
      </c>
      <c r="O60">
        <v>10.32</v>
      </c>
      <c r="P60">
        <v>11.23</v>
      </c>
      <c r="Q60">
        <v>39.05</v>
      </c>
      <c r="R60" t="s">
        <v>137</v>
      </c>
    </row>
    <row r="61" spans="1:18">
      <c r="A61" t="s">
        <v>160</v>
      </c>
      <c r="B61" t="s">
        <v>88</v>
      </c>
      <c r="C61" t="s">
        <v>87</v>
      </c>
      <c r="D61">
        <v>8.78</v>
      </c>
      <c r="E61">
        <v>1.27</v>
      </c>
      <c r="F61">
        <v>4.08</v>
      </c>
      <c r="M61">
        <v>8.72</v>
      </c>
      <c r="N61">
        <v>8.78</v>
      </c>
      <c r="O61">
        <v>9.29</v>
      </c>
      <c r="P61">
        <v>9.7</v>
      </c>
      <c r="Q61">
        <v>25.96</v>
      </c>
      <c r="R61" t="s">
        <v>137</v>
      </c>
    </row>
    <row r="62" spans="1:18">
      <c r="A62" t="s">
        <v>160</v>
      </c>
      <c r="B62" t="s">
        <v>136</v>
      </c>
      <c r="C62" t="s">
        <v>92</v>
      </c>
      <c r="D62">
        <v>6.62</v>
      </c>
      <c r="E62">
        <v>0.91</v>
      </c>
      <c r="F62">
        <v>5.77</v>
      </c>
      <c r="M62">
        <v>6.79</v>
      </c>
      <c r="N62">
        <v>6.95</v>
      </c>
      <c r="O62">
        <v>7.22</v>
      </c>
      <c r="P62">
        <v>7.93</v>
      </c>
      <c r="Q62">
        <v>27.8</v>
      </c>
      <c r="R62" t="s">
        <v>161</v>
      </c>
    </row>
    <row r="63" spans="1:18">
      <c r="A63" t="s">
        <v>160</v>
      </c>
      <c r="B63" t="s">
        <v>100</v>
      </c>
      <c r="C63" t="s">
        <v>99</v>
      </c>
      <c r="D63">
        <v>2.61</v>
      </c>
      <c r="E63">
        <v>0.77</v>
      </c>
      <c r="F63">
        <v>0.76</v>
      </c>
      <c r="M63">
        <v>2.62</v>
      </c>
      <c r="N63">
        <v>2.64</v>
      </c>
      <c r="O63">
        <v>2.75</v>
      </c>
      <c r="P63">
        <v>2.87</v>
      </c>
      <c r="Q63">
        <v>33.33</v>
      </c>
      <c r="R63" t="s">
        <v>145</v>
      </c>
    </row>
    <row r="64" spans="1:18">
      <c r="A64" t="s">
        <v>160</v>
      </c>
      <c r="B64" t="s">
        <v>103</v>
      </c>
      <c r="C64" t="s">
        <v>102</v>
      </c>
      <c r="D64">
        <v>14.85</v>
      </c>
      <c r="E64">
        <v>0.95</v>
      </c>
      <c r="F64">
        <v>6.1</v>
      </c>
      <c r="M64">
        <v>14.99</v>
      </c>
      <c r="N64">
        <v>15.07</v>
      </c>
      <c r="O64">
        <v>15.76</v>
      </c>
      <c r="P64">
        <v>16.01</v>
      </c>
      <c r="Q64">
        <v>29.53</v>
      </c>
      <c r="R64" t="s">
        <v>146</v>
      </c>
    </row>
    <row r="65" spans="1:18">
      <c r="A65" t="s">
        <v>160</v>
      </c>
      <c r="B65" t="s">
        <v>140</v>
      </c>
      <c r="C65" t="s">
        <v>141</v>
      </c>
      <c r="D65">
        <v>9.69</v>
      </c>
      <c r="E65">
        <v>2.54</v>
      </c>
      <c r="F65">
        <v>2.71</v>
      </c>
      <c r="M65">
        <v>9.72</v>
      </c>
      <c r="N65">
        <v>9.56</v>
      </c>
      <c r="O65">
        <v>9.88</v>
      </c>
      <c r="P65">
        <v>8.88</v>
      </c>
      <c r="Q65">
        <v>36.48</v>
      </c>
      <c r="R65" t="s">
        <v>137</v>
      </c>
    </row>
    <row r="66" spans="1:18">
      <c r="A66" t="s">
        <v>162</v>
      </c>
      <c r="B66" t="s">
        <v>69</v>
      </c>
      <c r="C66" t="s">
        <v>68</v>
      </c>
      <c r="D66">
        <v>32.71</v>
      </c>
      <c r="E66">
        <v>-3.88</v>
      </c>
      <c r="F66">
        <v>5.64</v>
      </c>
      <c r="M66">
        <v>33.61</v>
      </c>
      <c r="N66">
        <v>34.02</v>
      </c>
      <c r="O66">
        <v>35.99</v>
      </c>
      <c r="P66">
        <v>37.32</v>
      </c>
      <c r="Q66">
        <v>28.91</v>
      </c>
      <c r="R66" t="s">
        <v>163</v>
      </c>
    </row>
    <row r="67" spans="1:18">
      <c r="A67" t="s">
        <v>162</v>
      </c>
      <c r="B67" t="s">
        <v>76</v>
      </c>
      <c r="C67" t="s">
        <v>75</v>
      </c>
      <c r="D67">
        <v>8.15</v>
      </c>
      <c r="E67">
        <v>-1.69</v>
      </c>
      <c r="F67">
        <v>0.77</v>
      </c>
      <c r="M67">
        <v>8.23</v>
      </c>
      <c r="N67">
        <v>8.17</v>
      </c>
      <c r="O67">
        <v>8.54</v>
      </c>
      <c r="P67">
        <v>9.54</v>
      </c>
      <c r="Q67">
        <v>36.36</v>
      </c>
      <c r="R67" t="s">
        <v>143</v>
      </c>
    </row>
    <row r="68" spans="1:18">
      <c r="A68" t="s">
        <v>162</v>
      </c>
      <c r="B68" t="s">
        <v>133</v>
      </c>
      <c r="C68" t="s">
        <v>82</v>
      </c>
      <c r="D68">
        <v>9.99</v>
      </c>
      <c r="E68">
        <v>-2.54</v>
      </c>
      <c r="F68">
        <v>0.94</v>
      </c>
      <c r="M68">
        <v>10.05</v>
      </c>
      <c r="N68">
        <v>10</v>
      </c>
      <c r="O68">
        <v>10.28</v>
      </c>
      <c r="P68">
        <v>11.2</v>
      </c>
      <c r="Q68">
        <v>34.2</v>
      </c>
      <c r="R68" t="s">
        <v>137</v>
      </c>
    </row>
    <row r="69" spans="1:18">
      <c r="A69" t="s">
        <v>162</v>
      </c>
      <c r="B69" t="s">
        <v>88</v>
      </c>
      <c r="C69" t="s">
        <v>87</v>
      </c>
      <c r="D69">
        <v>8.6</v>
      </c>
      <c r="E69">
        <v>-2.05</v>
      </c>
      <c r="F69">
        <v>3.87</v>
      </c>
      <c r="M69">
        <v>8.7</v>
      </c>
      <c r="N69">
        <v>8.72</v>
      </c>
      <c r="O69">
        <v>9.24</v>
      </c>
      <c r="P69">
        <v>9.69</v>
      </c>
      <c r="Q69">
        <v>26.52</v>
      </c>
      <c r="R69" t="s">
        <v>164</v>
      </c>
    </row>
    <row r="70" spans="1:18">
      <c r="A70" t="s">
        <v>162</v>
      </c>
      <c r="B70" t="s">
        <v>136</v>
      </c>
      <c r="C70" t="s">
        <v>92</v>
      </c>
      <c r="D70">
        <v>6.38</v>
      </c>
      <c r="E70">
        <v>-3.63</v>
      </c>
      <c r="F70">
        <v>3.97</v>
      </c>
      <c r="M70">
        <v>6.67</v>
      </c>
      <c r="N70">
        <v>6.9</v>
      </c>
      <c r="O70">
        <v>7.16</v>
      </c>
      <c r="P70">
        <v>7.93</v>
      </c>
      <c r="Q70">
        <v>25.79</v>
      </c>
      <c r="R70" t="s">
        <v>165</v>
      </c>
    </row>
    <row r="71" spans="1:18">
      <c r="A71" t="s">
        <v>162</v>
      </c>
      <c r="B71" t="s">
        <v>100</v>
      </c>
      <c r="C71" t="s">
        <v>99</v>
      </c>
      <c r="D71">
        <v>2.55</v>
      </c>
      <c r="E71">
        <v>-2.3</v>
      </c>
      <c r="F71">
        <v>0.91</v>
      </c>
      <c r="M71">
        <v>2.61</v>
      </c>
      <c r="N71">
        <v>2.62</v>
      </c>
      <c r="O71">
        <v>2.74</v>
      </c>
      <c r="P71">
        <v>2.87</v>
      </c>
      <c r="Q71">
        <v>32.47</v>
      </c>
      <c r="R71" t="s">
        <v>145</v>
      </c>
    </row>
    <row r="72" spans="1:18">
      <c r="A72" t="s">
        <v>162</v>
      </c>
      <c r="B72" t="s">
        <v>103</v>
      </c>
      <c r="C72" t="s">
        <v>102</v>
      </c>
      <c r="D72">
        <v>14.43</v>
      </c>
      <c r="E72">
        <v>-2.83</v>
      </c>
      <c r="F72">
        <v>7.42</v>
      </c>
      <c r="M72">
        <v>14.79</v>
      </c>
      <c r="N72">
        <v>14.92</v>
      </c>
      <c r="O72">
        <v>15.7</v>
      </c>
      <c r="P72">
        <v>16.02</v>
      </c>
      <c r="Q72">
        <v>31.11</v>
      </c>
      <c r="R72" t="s">
        <v>146</v>
      </c>
    </row>
    <row r="73" spans="1:18">
      <c r="A73" t="s">
        <v>162</v>
      </c>
      <c r="B73" t="s">
        <v>140</v>
      </c>
      <c r="C73" t="s">
        <v>141</v>
      </c>
      <c r="D73">
        <v>9.56</v>
      </c>
      <c r="E73">
        <v>-1.34</v>
      </c>
      <c r="F73">
        <v>1.37</v>
      </c>
      <c r="M73">
        <v>9.59</v>
      </c>
      <c r="N73">
        <v>9.59</v>
      </c>
      <c r="O73">
        <v>9.78</v>
      </c>
      <c r="P73">
        <v>8.92</v>
      </c>
      <c r="Q73">
        <v>45.54</v>
      </c>
      <c r="R73" t="s">
        <v>137</v>
      </c>
    </row>
    <row r="74" spans="1:18">
      <c r="A74" t="s">
        <v>166</v>
      </c>
      <c r="B74" t="s">
        <v>69</v>
      </c>
      <c r="C74" t="s">
        <v>68</v>
      </c>
      <c r="D74">
        <v>32.43</v>
      </c>
      <c r="E74">
        <v>-0.86</v>
      </c>
      <c r="F74">
        <v>3.95</v>
      </c>
      <c r="M74">
        <v>33.29</v>
      </c>
      <c r="N74">
        <v>33.73</v>
      </c>
      <c r="O74">
        <v>35.64</v>
      </c>
      <c r="P74">
        <v>37.27</v>
      </c>
      <c r="Q74">
        <v>25.91</v>
      </c>
      <c r="R74" t="s">
        <v>167</v>
      </c>
    </row>
    <row r="75" spans="1:18">
      <c r="A75" t="s">
        <v>166</v>
      </c>
      <c r="B75" t="s">
        <v>76</v>
      </c>
      <c r="C75" t="s">
        <v>75</v>
      </c>
      <c r="D75">
        <v>8.06</v>
      </c>
      <c r="E75">
        <v>-1.1</v>
      </c>
      <c r="F75">
        <v>0.78</v>
      </c>
      <c r="M75">
        <v>8.2</v>
      </c>
      <c r="N75">
        <v>8.15</v>
      </c>
      <c r="O75">
        <v>8.49</v>
      </c>
      <c r="P75">
        <v>9.52</v>
      </c>
      <c r="Q75">
        <v>33.05</v>
      </c>
      <c r="R75" t="s">
        <v>143</v>
      </c>
    </row>
    <row r="76" spans="1:18">
      <c r="A76" t="s">
        <v>166</v>
      </c>
      <c r="B76" t="s">
        <v>133</v>
      </c>
      <c r="C76" t="s">
        <v>82</v>
      </c>
      <c r="D76">
        <v>9.88</v>
      </c>
      <c r="E76">
        <v>-1.1</v>
      </c>
      <c r="F76">
        <v>0.49</v>
      </c>
      <c r="M76">
        <v>10.02</v>
      </c>
      <c r="N76">
        <v>9.97</v>
      </c>
      <c r="O76">
        <v>10.24</v>
      </c>
      <c r="P76">
        <v>11.18</v>
      </c>
      <c r="Q76">
        <v>33.85</v>
      </c>
      <c r="R76" t="s">
        <v>137</v>
      </c>
    </row>
    <row r="77" spans="1:18">
      <c r="A77" t="s">
        <v>166</v>
      </c>
      <c r="B77" t="s">
        <v>88</v>
      </c>
      <c r="C77" t="s">
        <v>87</v>
      </c>
      <c r="D77">
        <v>8.45</v>
      </c>
      <c r="E77">
        <v>-1.74</v>
      </c>
      <c r="F77">
        <v>3.35</v>
      </c>
      <c r="M77">
        <v>8.65</v>
      </c>
      <c r="N77">
        <v>8.66</v>
      </c>
      <c r="O77">
        <v>9.17</v>
      </c>
      <c r="P77">
        <v>9.68</v>
      </c>
      <c r="Q77">
        <v>24.28</v>
      </c>
      <c r="R77" t="s">
        <v>143</v>
      </c>
    </row>
    <row r="78" spans="1:18">
      <c r="A78" t="s">
        <v>166</v>
      </c>
      <c r="B78" t="s">
        <v>136</v>
      </c>
      <c r="C78" t="s">
        <v>92</v>
      </c>
      <c r="D78">
        <v>6.16</v>
      </c>
      <c r="E78">
        <v>-3.45</v>
      </c>
      <c r="F78">
        <v>2.76</v>
      </c>
      <c r="M78">
        <v>6.51</v>
      </c>
      <c r="N78">
        <v>6.83</v>
      </c>
      <c r="O78">
        <v>7.08</v>
      </c>
      <c r="P78">
        <v>7.92</v>
      </c>
      <c r="Q78">
        <v>27.67</v>
      </c>
      <c r="R78" t="s">
        <v>168</v>
      </c>
    </row>
    <row r="79" spans="1:18">
      <c r="A79" t="s">
        <v>166</v>
      </c>
      <c r="B79" t="s">
        <v>100</v>
      </c>
      <c r="C79" t="s">
        <v>99</v>
      </c>
      <c r="D79">
        <v>2.45</v>
      </c>
      <c r="E79">
        <v>-3.92</v>
      </c>
      <c r="F79">
        <v>1.02</v>
      </c>
      <c r="M79">
        <v>2.57</v>
      </c>
      <c r="N79">
        <v>2.6</v>
      </c>
      <c r="O79">
        <v>2.71</v>
      </c>
      <c r="P79">
        <v>2.86</v>
      </c>
      <c r="Q79">
        <v>27.91</v>
      </c>
      <c r="R79" t="s">
        <v>169</v>
      </c>
    </row>
    <row r="80" spans="1:18">
      <c r="A80" t="s">
        <v>166</v>
      </c>
      <c r="B80" t="s">
        <v>103</v>
      </c>
      <c r="C80" t="s">
        <v>102</v>
      </c>
      <c r="D80">
        <v>14.19</v>
      </c>
      <c r="E80">
        <v>-1.66</v>
      </c>
      <c r="F80">
        <v>5.58</v>
      </c>
      <c r="M80">
        <v>14.62</v>
      </c>
      <c r="N80">
        <v>14.77</v>
      </c>
      <c r="O80">
        <v>15.62</v>
      </c>
      <c r="P80">
        <v>16.01</v>
      </c>
      <c r="Q80">
        <v>29.23</v>
      </c>
      <c r="R80" t="s">
        <v>146</v>
      </c>
    </row>
    <row r="81" spans="1:18">
      <c r="A81" t="s">
        <v>166</v>
      </c>
      <c r="B81" t="s">
        <v>140</v>
      </c>
      <c r="C81" t="s">
        <v>141</v>
      </c>
      <c r="D81">
        <v>9.38</v>
      </c>
      <c r="E81">
        <v>-1.88</v>
      </c>
      <c r="F81">
        <v>1.33</v>
      </c>
      <c r="M81">
        <v>9.5</v>
      </c>
      <c r="N81">
        <v>9.6</v>
      </c>
      <c r="O81">
        <v>9.7</v>
      </c>
      <c r="P81">
        <v>8.95</v>
      </c>
      <c r="Q81">
        <v>47.83</v>
      </c>
      <c r="R81" t="s">
        <v>137</v>
      </c>
    </row>
    <row r="82" spans="1:18">
      <c r="A82" t="s">
        <v>170</v>
      </c>
      <c r="B82" t="s">
        <v>69</v>
      </c>
      <c r="C82" t="s">
        <v>68</v>
      </c>
      <c r="D82">
        <v>32.15</v>
      </c>
      <c r="E82">
        <v>-0.86</v>
      </c>
      <c r="F82">
        <v>4.43</v>
      </c>
      <c r="M82">
        <v>32.88</v>
      </c>
      <c r="N82">
        <v>33.56</v>
      </c>
      <c r="O82">
        <v>35.35</v>
      </c>
      <c r="P82">
        <v>37.22</v>
      </c>
      <c r="Q82">
        <v>27.35</v>
      </c>
      <c r="R82" t="s">
        <v>167</v>
      </c>
    </row>
    <row r="83" spans="1:18">
      <c r="A83" t="s">
        <v>170</v>
      </c>
      <c r="B83" t="s">
        <v>76</v>
      </c>
      <c r="C83" t="s">
        <v>75</v>
      </c>
      <c r="D83">
        <v>8.23</v>
      </c>
      <c r="E83">
        <v>2.11</v>
      </c>
      <c r="F83">
        <v>1</v>
      </c>
      <c r="M83">
        <v>8.19</v>
      </c>
      <c r="N83">
        <v>8.19</v>
      </c>
      <c r="O83">
        <v>8.44</v>
      </c>
      <c r="P83">
        <v>9.49</v>
      </c>
      <c r="Q83">
        <v>40.87</v>
      </c>
      <c r="R83" t="s">
        <v>143</v>
      </c>
    </row>
    <row r="84" spans="1:18">
      <c r="A84" t="s">
        <v>170</v>
      </c>
      <c r="B84" t="s">
        <v>133</v>
      </c>
      <c r="C84" t="s">
        <v>82</v>
      </c>
      <c r="D84">
        <v>9.52</v>
      </c>
      <c r="E84">
        <v>-3.64</v>
      </c>
      <c r="F84">
        <v>1.19</v>
      </c>
      <c r="M84">
        <v>9.92</v>
      </c>
      <c r="N84">
        <v>9.95</v>
      </c>
      <c r="O84">
        <v>10.18</v>
      </c>
      <c r="P84">
        <v>11.14</v>
      </c>
      <c r="Q84">
        <v>27.63</v>
      </c>
      <c r="R84" t="s">
        <v>171</v>
      </c>
    </row>
    <row r="85" spans="1:18">
      <c r="A85" t="s">
        <v>170</v>
      </c>
      <c r="B85" t="s">
        <v>88</v>
      </c>
      <c r="C85" t="s">
        <v>87</v>
      </c>
      <c r="D85">
        <v>8.46</v>
      </c>
      <c r="E85">
        <v>0.12</v>
      </c>
      <c r="F85">
        <v>2.6</v>
      </c>
      <c r="M85">
        <v>8.59</v>
      </c>
      <c r="N85">
        <v>8.66</v>
      </c>
      <c r="O85">
        <v>9.09</v>
      </c>
      <c r="P85">
        <v>9.67</v>
      </c>
      <c r="Q85">
        <v>26.09</v>
      </c>
      <c r="R85" t="s">
        <v>143</v>
      </c>
    </row>
    <row r="86" spans="1:18">
      <c r="A86" t="s">
        <v>170</v>
      </c>
      <c r="B86" t="s">
        <v>136</v>
      </c>
      <c r="C86" t="s">
        <v>92</v>
      </c>
      <c r="D86">
        <v>6.25</v>
      </c>
      <c r="E86">
        <v>1.46</v>
      </c>
      <c r="F86">
        <v>2.82</v>
      </c>
      <c r="M86">
        <v>6.39</v>
      </c>
      <c r="N86">
        <v>6.73</v>
      </c>
      <c r="O86">
        <v>7.01</v>
      </c>
      <c r="P86">
        <v>7.92</v>
      </c>
      <c r="Q86">
        <v>30.99</v>
      </c>
      <c r="R86" t="s">
        <v>172</v>
      </c>
    </row>
    <row r="87" spans="1:18">
      <c r="A87" t="s">
        <v>170</v>
      </c>
      <c r="B87" t="s">
        <v>100</v>
      </c>
      <c r="C87" t="s">
        <v>99</v>
      </c>
      <c r="D87">
        <v>2.48</v>
      </c>
      <c r="E87">
        <v>1.22</v>
      </c>
      <c r="F87">
        <v>0.8</v>
      </c>
      <c r="M87">
        <v>2.54</v>
      </c>
      <c r="N87">
        <v>2.59</v>
      </c>
      <c r="O87">
        <v>2.69</v>
      </c>
      <c r="P87">
        <v>2.86</v>
      </c>
      <c r="Q87">
        <v>30.34</v>
      </c>
      <c r="R87" t="s">
        <v>145</v>
      </c>
    </row>
    <row r="88" spans="1:18">
      <c r="A88" t="s">
        <v>170</v>
      </c>
      <c r="B88" t="s">
        <v>103</v>
      </c>
      <c r="C88" t="s">
        <v>102</v>
      </c>
      <c r="D88">
        <v>14.25</v>
      </c>
      <c r="E88">
        <v>0.42</v>
      </c>
      <c r="F88">
        <v>4.09</v>
      </c>
      <c r="M88">
        <v>14.49</v>
      </c>
      <c r="N88">
        <v>14.76</v>
      </c>
      <c r="O88">
        <v>15.47</v>
      </c>
      <c r="P88">
        <v>16.01</v>
      </c>
      <c r="Q88">
        <v>34.23</v>
      </c>
      <c r="R88" t="s">
        <v>146</v>
      </c>
    </row>
    <row r="89" spans="1:18">
      <c r="A89" t="s">
        <v>170</v>
      </c>
      <c r="B89" t="s">
        <v>140</v>
      </c>
      <c r="C89" t="s">
        <v>141</v>
      </c>
      <c r="D89">
        <v>9.39</v>
      </c>
      <c r="E89">
        <v>0.11</v>
      </c>
      <c r="F89">
        <v>1.11</v>
      </c>
      <c r="M89">
        <v>9.49</v>
      </c>
      <c r="N89">
        <v>9.62</v>
      </c>
      <c r="O89">
        <v>9.65</v>
      </c>
      <c r="P89">
        <v>8.98</v>
      </c>
      <c r="Q89">
        <v>50.88</v>
      </c>
      <c r="R89" t="s">
        <v>137</v>
      </c>
    </row>
    <row r="90" spans="1:18">
      <c r="A90" t="s">
        <v>173</v>
      </c>
      <c r="B90" t="s">
        <v>69</v>
      </c>
      <c r="C90" t="s">
        <v>68</v>
      </c>
      <c r="D90">
        <v>34.48</v>
      </c>
      <c r="E90">
        <v>7.25</v>
      </c>
      <c r="F90">
        <v>8.55</v>
      </c>
      <c r="M90">
        <v>33.16</v>
      </c>
      <c r="N90">
        <v>33.61</v>
      </c>
      <c r="O90">
        <v>35.09</v>
      </c>
      <c r="P90">
        <v>37.2</v>
      </c>
      <c r="Q90">
        <v>36.71</v>
      </c>
      <c r="R90" t="s">
        <v>174</v>
      </c>
    </row>
    <row r="91" spans="1:18">
      <c r="A91" t="s">
        <v>173</v>
      </c>
      <c r="B91" t="s">
        <v>76</v>
      </c>
      <c r="C91" t="s">
        <v>75</v>
      </c>
      <c r="D91">
        <v>8.45</v>
      </c>
      <c r="E91">
        <v>2.67</v>
      </c>
      <c r="F91">
        <v>1.35</v>
      </c>
      <c r="M91">
        <v>8.24</v>
      </c>
      <c r="N91">
        <v>8.22</v>
      </c>
      <c r="O91">
        <v>8.41</v>
      </c>
      <c r="P91">
        <v>9.48</v>
      </c>
      <c r="Q91">
        <v>44.49</v>
      </c>
      <c r="R91" t="s">
        <v>143</v>
      </c>
    </row>
    <row r="92" spans="1:18">
      <c r="A92" t="s">
        <v>173</v>
      </c>
      <c r="B92" t="s">
        <v>133</v>
      </c>
      <c r="C92" t="s">
        <v>82</v>
      </c>
      <c r="D92">
        <v>10.01</v>
      </c>
      <c r="E92">
        <v>5.15</v>
      </c>
      <c r="F92">
        <v>1.38</v>
      </c>
      <c r="M92">
        <v>9.93</v>
      </c>
      <c r="N92">
        <v>9.96</v>
      </c>
      <c r="O92">
        <v>10.15</v>
      </c>
      <c r="P92">
        <v>11.12</v>
      </c>
      <c r="Q92">
        <v>42.26</v>
      </c>
      <c r="R92" t="s">
        <v>175</v>
      </c>
    </row>
    <row r="93" spans="1:18">
      <c r="A93" t="s">
        <v>173</v>
      </c>
      <c r="B93" t="s">
        <v>88</v>
      </c>
      <c r="C93" t="s">
        <v>87</v>
      </c>
      <c r="D93">
        <v>8.84</v>
      </c>
      <c r="E93">
        <v>4.49</v>
      </c>
      <c r="F93">
        <v>7.44</v>
      </c>
      <c r="M93">
        <v>8.63</v>
      </c>
      <c r="N93">
        <v>8.68</v>
      </c>
      <c r="O93">
        <v>9.04</v>
      </c>
      <c r="P93">
        <v>9.66</v>
      </c>
      <c r="Q93">
        <v>35.11</v>
      </c>
      <c r="R93" t="s">
        <v>137</v>
      </c>
    </row>
    <row r="94" spans="1:18">
      <c r="A94" t="s">
        <v>173</v>
      </c>
      <c r="B94" t="s">
        <v>136</v>
      </c>
      <c r="C94" t="s">
        <v>92</v>
      </c>
      <c r="D94">
        <v>6.55</v>
      </c>
      <c r="E94">
        <v>4.8</v>
      </c>
      <c r="F94">
        <v>4</v>
      </c>
      <c r="M94">
        <v>6.39</v>
      </c>
      <c r="N94">
        <v>6.66</v>
      </c>
      <c r="O94">
        <v>6.94</v>
      </c>
      <c r="P94">
        <v>7.92</v>
      </c>
      <c r="Q94">
        <v>38.49</v>
      </c>
      <c r="R94" t="s">
        <v>176</v>
      </c>
    </row>
    <row r="95" spans="1:18">
      <c r="A95" t="s">
        <v>173</v>
      </c>
      <c r="B95" t="s">
        <v>100</v>
      </c>
      <c r="C95" t="s">
        <v>99</v>
      </c>
      <c r="D95">
        <v>2.73</v>
      </c>
      <c r="E95">
        <v>10.08</v>
      </c>
      <c r="F95">
        <v>1.67</v>
      </c>
      <c r="M95">
        <v>2.56</v>
      </c>
      <c r="N95">
        <v>2.6</v>
      </c>
      <c r="O95">
        <v>2.69</v>
      </c>
      <c r="P95">
        <v>2.85</v>
      </c>
      <c r="Q95">
        <v>44.14</v>
      </c>
      <c r="R95" t="s">
        <v>177</v>
      </c>
    </row>
    <row r="96" spans="1:18">
      <c r="A96" t="s">
        <v>173</v>
      </c>
      <c r="B96" t="s">
        <v>103</v>
      </c>
      <c r="C96" t="s">
        <v>102</v>
      </c>
      <c r="D96">
        <v>14.98</v>
      </c>
      <c r="E96">
        <v>5.12</v>
      </c>
      <c r="F96">
        <v>11.01</v>
      </c>
      <c r="M96">
        <v>14.54</v>
      </c>
      <c r="N96">
        <v>14.79</v>
      </c>
      <c r="O96">
        <v>15.37</v>
      </c>
      <c r="P96">
        <v>16.02</v>
      </c>
      <c r="Q96">
        <v>38.68</v>
      </c>
      <c r="R96" t="s">
        <v>178</v>
      </c>
    </row>
    <row r="97" spans="1:18">
      <c r="A97" t="s">
        <v>173</v>
      </c>
      <c r="B97" t="s">
        <v>140</v>
      </c>
      <c r="C97" t="s">
        <v>141</v>
      </c>
      <c r="D97">
        <v>9.5</v>
      </c>
      <c r="E97">
        <v>1.17</v>
      </c>
      <c r="F97">
        <v>1.39</v>
      </c>
      <c r="M97">
        <v>9.5</v>
      </c>
      <c r="N97">
        <v>9.62</v>
      </c>
      <c r="O97">
        <v>9.61</v>
      </c>
      <c r="P97">
        <v>9</v>
      </c>
      <c r="Q97">
        <v>52.4</v>
      </c>
      <c r="R97" t="s">
        <v>137</v>
      </c>
    </row>
    <row r="98" spans="1:18">
      <c r="A98" t="s">
        <v>179</v>
      </c>
      <c r="B98" t="s">
        <v>69</v>
      </c>
      <c r="C98" t="s">
        <v>68</v>
      </c>
      <c r="D98">
        <v>33.9</v>
      </c>
      <c r="E98">
        <v>-1.68</v>
      </c>
      <c r="F98">
        <v>7.12</v>
      </c>
      <c r="M98">
        <v>33.13</v>
      </c>
      <c r="N98">
        <v>33.52</v>
      </c>
      <c r="O98">
        <v>34.84</v>
      </c>
      <c r="P98">
        <v>37.19</v>
      </c>
      <c r="Q98">
        <v>38.34</v>
      </c>
      <c r="R98" t="s">
        <v>180</v>
      </c>
    </row>
    <row r="99" spans="1:18">
      <c r="A99" t="s">
        <v>179</v>
      </c>
      <c r="B99" t="s">
        <v>76</v>
      </c>
      <c r="C99" t="s">
        <v>75</v>
      </c>
      <c r="D99">
        <v>8.38</v>
      </c>
      <c r="E99">
        <v>-0.83</v>
      </c>
      <c r="F99">
        <v>0.96</v>
      </c>
      <c r="M99">
        <v>8.25</v>
      </c>
      <c r="N99">
        <v>8.23</v>
      </c>
      <c r="O99">
        <v>8.37</v>
      </c>
      <c r="P99">
        <v>9.45</v>
      </c>
      <c r="Q99">
        <v>46.38</v>
      </c>
      <c r="R99" t="s">
        <v>143</v>
      </c>
    </row>
    <row r="100" spans="1:18">
      <c r="A100" t="s">
        <v>179</v>
      </c>
      <c r="B100" t="s">
        <v>133</v>
      </c>
      <c r="C100" t="s">
        <v>82</v>
      </c>
      <c r="D100">
        <v>9.67</v>
      </c>
      <c r="E100">
        <v>-3.4</v>
      </c>
      <c r="F100">
        <v>1.35</v>
      </c>
      <c r="M100">
        <v>9.81</v>
      </c>
      <c r="N100">
        <v>9.92</v>
      </c>
      <c r="O100">
        <v>10.1</v>
      </c>
      <c r="P100">
        <v>11.08</v>
      </c>
      <c r="Q100">
        <v>40.58</v>
      </c>
      <c r="R100" t="s">
        <v>181</v>
      </c>
    </row>
    <row r="101" spans="1:18">
      <c r="A101" t="s">
        <v>179</v>
      </c>
      <c r="B101" t="s">
        <v>88</v>
      </c>
      <c r="C101" t="s">
        <v>87</v>
      </c>
      <c r="D101">
        <v>8.66</v>
      </c>
      <c r="E101">
        <v>-2.04</v>
      </c>
      <c r="F101">
        <v>4.48</v>
      </c>
      <c r="M101">
        <v>8.6</v>
      </c>
      <c r="N101">
        <v>8.66</v>
      </c>
      <c r="O101">
        <v>8.97</v>
      </c>
      <c r="P101">
        <v>9.65</v>
      </c>
      <c r="Q101">
        <v>38.17</v>
      </c>
      <c r="R101" t="s">
        <v>182</v>
      </c>
    </row>
    <row r="102" spans="1:18">
      <c r="A102" t="s">
        <v>179</v>
      </c>
      <c r="B102" t="s">
        <v>136</v>
      </c>
      <c r="C102" t="s">
        <v>92</v>
      </c>
      <c r="D102">
        <v>6.45</v>
      </c>
      <c r="E102">
        <v>-1.53</v>
      </c>
      <c r="F102">
        <v>2.82</v>
      </c>
      <c r="M102">
        <v>6.36</v>
      </c>
      <c r="N102">
        <v>6.57</v>
      </c>
      <c r="O102">
        <v>6.87</v>
      </c>
      <c r="P102">
        <v>7.92</v>
      </c>
      <c r="Q102">
        <v>40.89</v>
      </c>
      <c r="R102" t="s">
        <v>172</v>
      </c>
    </row>
    <row r="103" spans="1:18">
      <c r="A103" t="s">
        <v>179</v>
      </c>
      <c r="B103" t="s">
        <v>100</v>
      </c>
      <c r="C103" t="s">
        <v>99</v>
      </c>
      <c r="D103">
        <v>2.74</v>
      </c>
      <c r="E103">
        <v>0.37</v>
      </c>
      <c r="F103">
        <v>4.15</v>
      </c>
      <c r="M103">
        <v>2.59</v>
      </c>
      <c r="N103">
        <v>2.6</v>
      </c>
      <c r="O103">
        <v>2.68</v>
      </c>
      <c r="P103">
        <v>2.85</v>
      </c>
      <c r="Q103">
        <v>47.17</v>
      </c>
      <c r="R103" t="s">
        <v>145</v>
      </c>
    </row>
    <row r="104" spans="1:18">
      <c r="A104" t="s">
        <v>179</v>
      </c>
      <c r="B104" t="s">
        <v>103</v>
      </c>
      <c r="C104" t="s">
        <v>102</v>
      </c>
      <c r="D104">
        <v>14.9</v>
      </c>
      <c r="E104">
        <v>-0.53</v>
      </c>
      <c r="F104">
        <v>9.77</v>
      </c>
      <c r="M104">
        <v>14.55</v>
      </c>
      <c r="N104">
        <v>14.77</v>
      </c>
      <c r="O104">
        <v>15.27</v>
      </c>
      <c r="P104">
        <v>16.02</v>
      </c>
      <c r="Q104">
        <v>39.76</v>
      </c>
      <c r="R104" t="s">
        <v>146</v>
      </c>
    </row>
    <row r="105" spans="1:18">
      <c r="A105" t="s">
        <v>179</v>
      </c>
      <c r="B105" t="s">
        <v>140</v>
      </c>
      <c r="C105" t="s">
        <v>141</v>
      </c>
      <c r="D105">
        <v>9.7</v>
      </c>
      <c r="E105">
        <v>2.11</v>
      </c>
      <c r="F105">
        <v>1.84</v>
      </c>
      <c r="M105">
        <v>9.51</v>
      </c>
      <c r="N105">
        <v>9.61</v>
      </c>
      <c r="O105">
        <v>9.6</v>
      </c>
      <c r="P105">
        <v>9.04</v>
      </c>
      <c r="Q105">
        <v>57.48</v>
      </c>
      <c r="R105" t="s">
        <v>137</v>
      </c>
    </row>
    <row r="106" spans="1:18">
      <c r="A106" t="s">
        <v>183</v>
      </c>
      <c r="B106" t="s">
        <v>69</v>
      </c>
      <c r="C106" t="s">
        <v>68</v>
      </c>
      <c r="D106">
        <v>34.25</v>
      </c>
      <c r="E106">
        <v>1.03</v>
      </c>
      <c r="F106">
        <v>6.16</v>
      </c>
      <c r="M106">
        <v>33.44</v>
      </c>
      <c r="N106">
        <v>33.53</v>
      </c>
      <c r="O106">
        <v>34.68</v>
      </c>
      <c r="P106">
        <v>37.18</v>
      </c>
      <c r="Q106">
        <v>45.14</v>
      </c>
      <c r="R106" t="s">
        <v>137</v>
      </c>
    </row>
    <row r="107" spans="1:18">
      <c r="A107" t="s">
        <v>183</v>
      </c>
      <c r="B107" t="s">
        <v>76</v>
      </c>
      <c r="C107" t="s">
        <v>75</v>
      </c>
      <c r="D107">
        <v>8.35</v>
      </c>
      <c r="E107">
        <v>-0.36</v>
      </c>
      <c r="F107">
        <v>1.06</v>
      </c>
      <c r="M107">
        <v>8.29</v>
      </c>
      <c r="N107">
        <v>8.26</v>
      </c>
      <c r="O107">
        <v>8.34</v>
      </c>
      <c r="P107">
        <v>9.41</v>
      </c>
      <c r="Q107">
        <v>51.66</v>
      </c>
      <c r="R107" t="s">
        <v>143</v>
      </c>
    </row>
    <row r="108" spans="1:18">
      <c r="A108" t="s">
        <v>183</v>
      </c>
      <c r="B108" t="s">
        <v>133</v>
      </c>
      <c r="C108" t="s">
        <v>82</v>
      </c>
      <c r="D108">
        <v>9.9</v>
      </c>
      <c r="E108">
        <v>2.38</v>
      </c>
      <c r="F108">
        <v>0.93</v>
      </c>
      <c r="M108">
        <v>9.8</v>
      </c>
      <c r="N108">
        <v>9.92</v>
      </c>
      <c r="O108">
        <v>10.06</v>
      </c>
      <c r="P108">
        <v>11.05</v>
      </c>
      <c r="Q108">
        <v>45.92</v>
      </c>
      <c r="R108" t="s">
        <v>137</v>
      </c>
    </row>
    <row r="109" spans="1:18">
      <c r="A109" t="s">
        <v>183</v>
      </c>
      <c r="B109" t="s">
        <v>88</v>
      </c>
      <c r="C109" t="s">
        <v>87</v>
      </c>
      <c r="D109">
        <v>8.75</v>
      </c>
      <c r="E109">
        <v>1.04</v>
      </c>
      <c r="F109">
        <v>4.81</v>
      </c>
      <c r="M109">
        <v>8.63</v>
      </c>
      <c r="N109">
        <v>8.67</v>
      </c>
      <c r="O109">
        <v>8.91</v>
      </c>
      <c r="P109">
        <v>9.64</v>
      </c>
      <c r="Q109">
        <v>44.3</v>
      </c>
      <c r="R109" t="s">
        <v>184</v>
      </c>
    </row>
    <row r="110" spans="1:18">
      <c r="A110" t="s">
        <v>183</v>
      </c>
      <c r="B110" t="s">
        <v>136</v>
      </c>
      <c r="C110" t="s">
        <v>92</v>
      </c>
      <c r="D110">
        <v>6.37</v>
      </c>
      <c r="E110">
        <v>-1.24</v>
      </c>
      <c r="F110">
        <v>3.58</v>
      </c>
      <c r="M110">
        <v>6.36</v>
      </c>
      <c r="N110">
        <v>6.51</v>
      </c>
      <c r="O110">
        <v>6.82</v>
      </c>
      <c r="P110">
        <v>7.92</v>
      </c>
      <c r="Q110">
        <v>39.22</v>
      </c>
      <c r="R110" t="s">
        <v>172</v>
      </c>
    </row>
    <row r="111" spans="1:18">
      <c r="A111" t="s">
        <v>183</v>
      </c>
      <c r="B111" t="s">
        <v>100</v>
      </c>
      <c r="C111" t="s">
        <v>99</v>
      </c>
      <c r="D111">
        <v>2.69</v>
      </c>
      <c r="E111">
        <v>-1.82</v>
      </c>
      <c r="F111">
        <v>2.12</v>
      </c>
      <c r="M111">
        <v>2.62</v>
      </c>
      <c r="N111">
        <v>2.61</v>
      </c>
      <c r="O111">
        <v>2.67</v>
      </c>
      <c r="P111">
        <v>2.85</v>
      </c>
      <c r="Q111">
        <v>50</v>
      </c>
      <c r="R111" t="s">
        <v>145</v>
      </c>
    </row>
    <row r="112" spans="1:18">
      <c r="A112" t="s">
        <v>183</v>
      </c>
      <c r="B112" t="s">
        <v>103</v>
      </c>
      <c r="C112" t="s">
        <v>102</v>
      </c>
      <c r="D112">
        <v>15.06</v>
      </c>
      <c r="E112">
        <v>1.07</v>
      </c>
      <c r="F112">
        <v>11.77</v>
      </c>
      <c r="M112">
        <v>14.68</v>
      </c>
      <c r="N112">
        <v>14.74</v>
      </c>
      <c r="O112">
        <v>15.16</v>
      </c>
      <c r="P112">
        <v>16.02</v>
      </c>
      <c r="Q112">
        <v>43.9</v>
      </c>
      <c r="R112" t="s">
        <v>146</v>
      </c>
    </row>
    <row r="113" spans="1:18">
      <c r="A113" t="s">
        <v>183</v>
      </c>
      <c r="B113" t="s">
        <v>140</v>
      </c>
      <c r="C113" t="s">
        <v>141</v>
      </c>
      <c r="D113">
        <v>9.52</v>
      </c>
      <c r="E113">
        <v>-1.86</v>
      </c>
      <c r="F113">
        <v>1.6</v>
      </c>
      <c r="M113">
        <v>9.5</v>
      </c>
      <c r="N113">
        <v>9.54</v>
      </c>
      <c r="O113">
        <v>9.54</v>
      </c>
      <c r="P113">
        <v>9.06</v>
      </c>
      <c r="Q113">
        <v>53.21</v>
      </c>
      <c r="R113" t="s">
        <v>137</v>
      </c>
    </row>
    <row r="114" spans="1:18">
      <c r="A114" t="s">
        <v>185</v>
      </c>
      <c r="B114" t="s">
        <v>69</v>
      </c>
      <c r="C114" t="s">
        <v>68</v>
      </c>
      <c r="D114">
        <v>34.57</v>
      </c>
      <c r="E114">
        <v>0.93</v>
      </c>
      <c r="F114">
        <v>6.56</v>
      </c>
      <c r="M114">
        <v>33.87</v>
      </c>
      <c r="N114">
        <v>33.58</v>
      </c>
      <c r="O114">
        <v>34.54</v>
      </c>
      <c r="P114">
        <v>37.16</v>
      </c>
      <c r="Q114">
        <v>53.89</v>
      </c>
      <c r="R114" t="s">
        <v>137</v>
      </c>
    </row>
    <row r="115" spans="1:18">
      <c r="A115" t="s">
        <v>185</v>
      </c>
      <c r="B115" t="s">
        <v>76</v>
      </c>
      <c r="C115" t="s">
        <v>75</v>
      </c>
      <c r="D115">
        <v>8.32</v>
      </c>
      <c r="E115">
        <v>-0.36</v>
      </c>
      <c r="F115">
        <v>0.72</v>
      </c>
      <c r="M115">
        <v>8.35</v>
      </c>
      <c r="N115">
        <v>8.27</v>
      </c>
      <c r="O115">
        <v>8.31</v>
      </c>
      <c r="P115">
        <v>9.37</v>
      </c>
      <c r="Q115">
        <v>64.5</v>
      </c>
      <c r="R115" t="s">
        <v>143</v>
      </c>
    </row>
    <row r="116" spans="1:18">
      <c r="A116" t="s">
        <v>185</v>
      </c>
      <c r="B116" t="s">
        <v>133</v>
      </c>
      <c r="C116" t="s">
        <v>82</v>
      </c>
      <c r="D116">
        <v>9.96</v>
      </c>
      <c r="E116">
        <v>0.61</v>
      </c>
      <c r="F116">
        <v>1.65</v>
      </c>
      <c r="M116">
        <v>9.81</v>
      </c>
      <c r="N116">
        <v>9.92</v>
      </c>
      <c r="O116">
        <v>10.03</v>
      </c>
      <c r="P116">
        <v>11.01</v>
      </c>
      <c r="Q116">
        <v>54.23</v>
      </c>
      <c r="R116" t="s">
        <v>137</v>
      </c>
    </row>
    <row r="117" spans="1:18">
      <c r="A117" t="s">
        <v>185</v>
      </c>
      <c r="B117" t="s">
        <v>88</v>
      </c>
      <c r="C117" t="s">
        <v>87</v>
      </c>
      <c r="D117">
        <v>8.71</v>
      </c>
      <c r="E117">
        <v>-0.46</v>
      </c>
      <c r="F117">
        <v>3.18</v>
      </c>
      <c r="M117">
        <v>8.68</v>
      </c>
      <c r="N117">
        <v>8.67</v>
      </c>
      <c r="O117">
        <v>8.86</v>
      </c>
      <c r="P117">
        <v>9.63</v>
      </c>
      <c r="Q117">
        <v>56.11</v>
      </c>
      <c r="R117" t="s">
        <v>186</v>
      </c>
    </row>
    <row r="118" spans="1:18">
      <c r="A118" t="s">
        <v>185</v>
      </c>
      <c r="B118" t="s">
        <v>136</v>
      </c>
      <c r="C118" t="s">
        <v>92</v>
      </c>
      <c r="D118">
        <v>6.52</v>
      </c>
      <c r="E118">
        <v>2.35</v>
      </c>
      <c r="F118">
        <v>4.44</v>
      </c>
      <c r="M118">
        <v>6.43</v>
      </c>
      <c r="N118">
        <v>6.47</v>
      </c>
      <c r="O118">
        <v>6.77</v>
      </c>
      <c r="P118">
        <v>7.91</v>
      </c>
      <c r="Q118">
        <v>34.42</v>
      </c>
      <c r="R118" t="s">
        <v>187</v>
      </c>
    </row>
    <row r="119" spans="1:18">
      <c r="A119" t="s">
        <v>185</v>
      </c>
      <c r="B119" t="s">
        <v>100</v>
      </c>
      <c r="C119" t="s">
        <v>99</v>
      </c>
      <c r="D119">
        <v>2.72</v>
      </c>
      <c r="E119">
        <v>1.12</v>
      </c>
      <c r="F119">
        <v>1.61</v>
      </c>
      <c r="M119">
        <v>2.67</v>
      </c>
      <c r="N119">
        <v>2.62</v>
      </c>
      <c r="O119">
        <v>2.67</v>
      </c>
      <c r="P119">
        <v>2.84</v>
      </c>
      <c r="Q119">
        <v>60.92</v>
      </c>
      <c r="R119" t="s">
        <v>145</v>
      </c>
    </row>
    <row r="120" spans="1:18">
      <c r="A120" t="s">
        <v>185</v>
      </c>
      <c r="B120" t="s">
        <v>103</v>
      </c>
      <c r="C120" t="s">
        <v>102</v>
      </c>
      <c r="D120">
        <v>15.39</v>
      </c>
      <c r="E120">
        <v>2.19</v>
      </c>
      <c r="F120">
        <v>14.99</v>
      </c>
      <c r="M120">
        <v>14.92</v>
      </c>
      <c r="N120">
        <v>14.77</v>
      </c>
      <c r="O120">
        <v>15.11</v>
      </c>
      <c r="P120">
        <v>16.03</v>
      </c>
      <c r="Q120">
        <v>63.36</v>
      </c>
      <c r="R120" t="s">
        <v>146</v>
      </c>
    </row>
    <row r="121" spans="1:18">
      <c r="A121" t="s">
        <v>185</v>
      </c>
      <c r="B121" t="s">
        <v>140</v>
      </c>
      <c r="C121" t="s">
        <v>141</v>
      </c>
      <c r="D121">
        <v>9.79</v>
      </c>
      <c r="E121">
        <v>2.84</v>
      </c>
      <c r="F121">
        <v>1.68</v>
      </c>
      <c r="M121">
        <v>9.58</v>
      </c>
      <c r="N121">
        <v>9.54</v>
      </c>
      <c r="O121">
        <v>9.53</v>
      </c>
      <c r="P121">
        <v>9.09</v>
      </c>
      <c r="Q121">
        <v>59.94</v>
      </c>
      <c r="R121" t="s">
        <v>137</v>
      </c>
    </row>
    <row r="122" spans="1:18">
      <c r="A122" t="s">
        <v>188</v>
      </c>
      <c r="B122" t="s">
        <v>69</v>
      </c>
      <c r="C122" t="s">
        <v>68</v>
      </c>
      <c r="D122">
        <v>35.45</v>
      </c>
      <c r="E122">
        <v>2.55</v>
      </c>
      <c r="F122">
        <v>9.97</v>
      </c>
      <c r="M122">
        <v>34.53</v>
      </c>
      <c r="N122">
        <v>33.71</v>
      </c>
      <c r="O122">
        <v>34.43</v>
      </c>
      <c r="P122">
        <v>37.14</v>
      </c>
      <c r="Q122">
        <v>57.04</v>
      </c>
      <c r="R122" t="s">
        <v>137</v>
      </c>
    </row>
    <row r="123" spans="1:18">
      <c r="A123" t="s">
        <v>188</v>
      </c>
      <c r="B123" t="s">
        <v>76</v>
      </c>
      <c r="C123" t="s">
        <v>75</v>
      </c>
      <c r="D123">
        <v>8.42</v>
      </c>
      <c r="E123">
        <v>1.2</v>
      </c>
      <c r="F123">
        <v>0.97</v>
      </c>
      <c r="M123">
        <v>8.38</v>
      </c>
      <c r="N123">
        <v>8.29</v>
      </c>
      <c r="O123">
        <v>8.29</v>
      </c>
      <c r="P123">
        <v>9.33</v>
      </c>
      <c r="Q123">
        <v>59.18</v>
      </c>
      <c r="R123" t="s">
        <v>143</v>
      </c>
    </row>
    <row r="124" spans="1:18">
      <c r="A124" t="s">
        <v>188</v>
      </c>
      <c r="B124" t="s">
        <v>133</v>
      </c>
      <c r="C124" t="s">
        <v>82</v>
      </c>
      <c r="D124">
        <v>9.55</v>
      </c>
      <c r="E124">
        <v>-4.12</v>
      </c>
      <c r="F124">
        <v>3.69</v>
      </c>
      <c r="M124">
        <v>9.82</v>
      </c>
      <c r="N124">
        <v>9.87</v>
      </c>
      <c r="O124">
        <v>9.98</v>
      </c>
      <c r="P124">
        <v>10.97</v>
      </c>
      <c r="Q124">
        <v>43.06</v>
      </c>
      <c r="R124" t="s">
        <v>189</v>
      </c>
    </row>
    <row r="125" spans="1:18">
      <c r="A125" t="s">
        <v>188</v>
      </c>
      <c r="B125" t="s">
        <v>88</v>
      </c>
      <c r="C125" t="s">
        <v>87</v>
      </c>
      <c r="D125">
        <v>8.79</v>
      </c>
      <c r="E125">
        <v>0.92</v>
      </c>
      <c r="F125">
        <v>4.58</v>
      </c>
      <c r="M125">
        <v>8.75</v>
      </c>
      <c r="N125">
        <v>8.67</v>
      </c>
      <c r="O125">
        <v>8.81</v>
      </c>
      <c r="P125">
        <v>9.62</v>
      </c>
      <c r="Q125">
        <v>53.25</v>
      </c>
      <c r="R125" t="s">
        <v>137</v>
      </c>
    </row>
    <row r="126" spans="1:18">
      <c r="A126" t="s">
        <v>188</v>
      </c>
      <c r="B126" t="s">
        <v>136</v>
      </c>
      <c r="C126" t="s">
        <v>92</v>
      </c>
      <c r="D126">
        <v>6.4</v>
      </c>
      <c r="E126">
        <v>-1.84</v>
      </c>
      <c r="F126">
        <v>4.95</v>
      </c>
      <c r="M126">
        <v>6.46</v>
      </c>
      <c r="N126">
        <v>6.43</v>
      </c>
      <c r="O126">
        <v>6.74</v>
      </c>
      <c r="P126">
        <v>7.9</v>
      </c>
      <c r="Q126">
        <v>29.17</v>
      </c>
      <c r="R126" t="s">
        <v>172</v>
      </c>
    </row>
    <row r="127" spans="1:18">
      <c r="A127" t="s">
        <v>188</v>
      </c>
      <c r="B127" t="s">
        <v>100</v>
      </c>
      <c r="C127" t="s">
        <v>99</v>
      </c>
      <c r="D127">
        <v>2.71</v>
      </c>
      <c r="E127">
        <v>-0.37</v>
      </c>
      <c r="F127">
        <v>1.41</v>
      </c>
      <c r="M127">
        <v>2.72</v>
      </c>
      <c r="N127">
        <v>2.63</v>
      </c>
      <c r="O127">
        <v>2.66</v>
      </c>
      <c r="P127">
        <v>2.84</v>
      </c>
      <c r="Q127">
        <v>54.55</v>
      </c>
      <c r="R127" t="s">
        <v>145</v>
      </c>
    </row>
    <row r="128" spans="1:18">
      <c r="A128" t="s">
        <v>188</v>
      </c>
      <c r="B128" t="s">
        <v>103</v>
      </c>
      <c r="C128" t="s">
        <v>102</v>
      </c>
      <c r="D128">
        <v>15.57</v>
      </c>
      <c r="E128">
        <v>1.17</v>
      </c>
      <c r="F128">
        <v>12.63</v>
      </c>
      <c r="M128">
        <v>15.18</v>
      </c>
      <c r="N128">
        <v>14.83</v>
      </c>
      <c r="O128">
        <v>15.07</v>
      </c>
      <c r="P128">
        <v>16.03</v>
      </c>
      <c r="Q128">
        <v>61.39</v>
      </c>
      <c r="R128" t="s">
        <v>146</v>
      </c>
    </row>
    <row r="129" spans="1:18">
      <c r="A129" t="s">
        <v>188</v>
      </c>
      <c r="B129" t="s">
        <v>140</v>
      </c>
      <c r="C129" t="s">
        <v>141</v>
      </c>
      <c r="D129">
        <v>9.8</v>
      </c>
      <c r="E129">
        <v>0.1</v>
      </c>
      <c r="F129">
        <v>1.22</v>
      </c>
      <c r="M129">
        <v>9.66</v>
      </c>
      <c r="N129">
        <v>9.58</v>
      </c>
      <c r="O129">
        <v>9.55</v>
      </c>
      <c r="P129">
        <v>9.12</v>
      </c>
      <c r="Q129">
        <v>54.9</v>
      </c>
      <c r="R129" t="s">
        <v>137</v>
      </c>
    </row>
    <row r="130" spans="1:18">
      <c r="A130" t="s">
        <v>190</v>
      </c>
      <c r="B130" t="s">
        <v>69</v>
      </c>
      <c r="C130" t="s">
        <v>68</v>
      </c>
      <c r="D130">
        <v>35.71</v>
      </c>
      <c r="E130">
        <v>0.73</v>
      </c>
      <c r="F130">
        <v>8.93</v>
      </c>
      <c r="M130">
        <v>34.78</v>
      </c>
      <c r="N130">
        <v>33.97</v>
      </c>
      <c r="O130">
        <v>34.37</v>
      </c>
      <c r="P130">
        <v>37.12</v>
      </c>
      <c r="Q130">
        <v>54.56</v>
      </c>
      <c r="R130" t="s">
        <v>137</v>
      </c>
    </row>
    <row r="131" spans="1:18">
      <c r="A131" t="s">
        <v>190</v>
      </c>
      <c r="B131" t="s">
        <v>76</v>
      </c>
      <c r="C131" t="s">
        <v>75</v>
      </c>
      <c r="D131">
        <v>8.28</v>
      </c>
      <c r="E131">
        <v>-1.66</v>
      </c>
      <c r="F131">
        <v>0.97</v>
      </c>
      <c r="M131">
        <v>8.35</v>
      </c>
      <c r="N131">
        <v>8.29</v>
      </c>
      <c r="O131">
        <v>8.27</v>
      </c>
      <c r="P131">
        <v>9.28</v>
      </c>
      <c r="Q131">
        <v>50.99</v>
      </c>
      <c r="R131" t="s">
        <v>143</v>
      </c>
    </row>
    <row r="132" spans="1:18">
      <c r="A132" t="s">
        <v>190</v>
      </c>
      <c r="B132" t="s">
        <v>133</v>
      </c>
      <c r="C132" t="s">
        <v>82</v>
      </c>
      <c r="D132">
        <v>9.44</v>
      </c>
      <c r="E132">
        <v>-1.15</v>
      </c>
      <c r="F132">
        <v>1.65</v>
      </c>
      <c r="M132">
        <v>9.7</v>
      </c>
      <c r="N132">
        <v>9.82</v>
      </c>
      <c r="O132">
        <v>9.93</v>
      </c>
      <c r="P132">
        <v>10.92</v>
      </c>
      <c r="Q132">
        <v>40.21</v>
      </c>
      <c r="R132" t="s">
        <v>137</v>
      </c>
    </row>
    <row r="133" spans="1:18">
      <c r="A133" t="s">
        <v>190</v>
      </c>
      <c r="B133" t="s">
        <v>88</v>
      </c>
      <c r="C133" t="s">
        <v>87</v>
      </c>
      <c r="D133">
        <v>9.35</v>
      </c>
      <c r="E133">
        <v>6.37</v>
      </c>
      <c r="F133">
        <v>31.69</v>
      </c>
      <c r="M133">
        <v>8.85</v>
      </c>
      <c r="N133">
        <v>8.74</v>
      </c>
      <c r="O133">
        <v>8.8</v>
      </c>
      <c r="P133">
        <v>9.6</v>
      </c>
      <c r="Q133">
        <v>62.2</v>
      </c>
      <c r="R133" t="s">
        <v>191</v>
      </c>
    </row>
    <row r="134" spans="1:18">
      <c r="A134" t="s">
        <v>190</v>
      </c>
      <c r="B134" t="s">
        <v>136</v>
      </c>
      <c r="C134" t="s">
        <v>92</v>
      </c>
      <c r="D134">
        <v>6.28</v>
      </c>
      <c r="E134">
        <v>-1.88</v>
      </c>
      <c r="F134">
        <v>3.44</v>
      </c>
      <c r="M134">
        <v>6.4</v>
      </c>
      <c r="N134">
        <v>6.4</v>
      </c>
      <c r="O134">
        <v>6.7</v>
      </c>
      <c r="P134">
        <v>7.88</v>
      </c>
      <c r="Q134">
        <v>26.99</v>
      </c>
      <c r="R134" t="s">
        <v>172</v>
      </c>
    </row>
    <row r="135" spans="1:18">
      <c r="A135" t="s">
        <v>190</v>
      </c>
      <c r="B135" t="s">
        <v>100</v>
      </c>
      <c r="C135" t="s">
        <v>99</v>
      </c>
      <c r="D135">
        <v>2.64</v>
      </c>
      <c r="E135">
        <v>-2.58</v>
      </c>
      <c r="F135">
        <v>1.02</v>
      </c>
      <c r="M135">
        <v>2.7</v>
      </c>
      <c r="N135">
        <v>2.63</v>
      </c>
      <c r="O135">
        <v>2.65</v>
      </c>
      <c r="P135">
        <v>2.83</v>
      </c>
      <c r="Q135">
        <v>47.5</v>
      </c>
      <c r="R135" t="s">
        <v>145</v>
      </c>
    </row>
    <row r="136" spans="1:18">
      <c r="A136" t="s">
        <v>190</v>
      </c>
      <c r="B136" t="s">
        <v>103</v>
      </c>
      <c r="C136" t="s">
        <v>102</v>
      </c>
      <c r="D136">
        <v>15.65</v>
      </c>
      <c r="E136">
        <v>0.51</v>
      </c>
      <c r="F136">
        <v>19.7</v>
      </c>
      <c r="M136">
        <v>15.31</v>
      </c>
      <c r="N136">
        <v>14.93</v>
      </c>
      <c r="O136">
        <v>15.06</v>
      </c>
      <c r="P136">
        <v>16.02</v>
      </c>
      <c r="Q136">
        <v>58.26</v>
      </c>
      <c r="R136" t="s">
        <v>146</v>
      </c>
    </row>
    <row r="137" spans="1:18">
      <c r="A137" t="s">
        <v>190</v>
      </c>
      <c r="B137" t="s">
        <v>140</v>
      </c>
      <c r="C137" t="s">
        <v>141</v>
      </c>
      <c r="D137">
        <v>9.68</v>
      </c>
      <c r="E137">
        <v>-1.22</v>
      </c>
      <c r="F137">
        <v>1.15</v>
      </c>
      <c r="M137">
        <v>9.7</v>
      </c>
      <c r="N137">
        <v>9.6</v>
      </c>
      <c r="O137">
        <v>9.57</v>
      </c>
      <c r="P137">
        <v>9.14</v>
      </c>
      <c r="Q137">
        <v>47.97</v>
      </c>
      <c r="R137" t="s">
        <v>137</v>
      </c>
    </row>
    <row r="138" spans="1:18">
      <c r="A138" t="s">
        <v>192</v>
      </c>
      <c r="B138" t="s">
        <v>69</v>
      </c>
      <c r="C138" t="s">
        <v>68</v>
      </c>
      <c r="D138">
        <v>35.74</v>
      </c>
      <c r="E138">
        <v>0.08</v>
      </c>
      <c r="F138">
        <v>6.91</v>
      </c>
      <c r="M138">
        <v>35.14</v>
      </c>
      <c r="N138">
        <v>34.14</v>
      </c>
      <c r="O138">
        <v>34.27</v>
      </c>
      <c r="P138">
        <v>37.1</v>
      </c>
      <c r="Q138">
        <v>59.16</v>
      </c>
      <c r="R138" t="s">
        <v>137</v>
      </c>
    </row>
    <row r="139" spans="1:18">
      <c r="A139" t="s">
        <v>192</v>
      </c>
      <c r="B139" t="s">
        <v>76</v>
      </c>
      <c r="C139" t="s">
        <v>75</v>
      </c>
      <c r="D139">
        <v>8.47</v>
      </c>
      <c r="E139">
        <v>2.29</v>
      </c>
      <c r="F139">
        <v>1.38</v>
      </c>
      <c r="M139">
        <v>8.37</v>
      </c>
      <c r="N139">
        <v>8.31</v>
      </c>
      <c r="O139">
        <v>8.26</v>
      </c>
      <c r="P139">
        <v>9.25</v>
      </c>
      <c r="Q139">
        <v>64</v>
      </c>
      <c r="R139" t="s">
        <v>143</v>
      </c>
    </row>
    <row r="140" spans="1:18">
      <c r="A140" t="s">
        <v>192</v>
      </c>
      <c r="B140" t="s">
        <v>133</v>
      </c>
      <c r="C140" t="s">
        <v>82</v>
      </c>
      <c r="D140">
        <v>9.42</v>
      </c>
      <c r="E140">
        <v>-0.21</v>
      </c>
      <c r="F140">
        <v>1.64</v>
      </c>
      <c r="M140">
        <v>9.65</v>
      </c>
      <c r="N140">
        <v>9.73</v>
      </c>
      <c r="O140">
        <v>9.88</v>
      </c>
      <c r="P140">
        <v>10.87</v>
      </c>
      <c r="Q140">
        <v>41.22</v>
      </c>
      <c r="R140" t="s">
        <v>137</v>
      </c>
    </row>
    <row r="141" spans="1:18">
      <c r="A141" t="s">
        <v>192</v>
      </c>
      <c r="B141" t="s">
        <v>88</v>
      </c>
      <c r="C141" t="s">
        <v>87</v>
      </c>
      <c r="D141">
        <v>9.18</v>
      </c>
      <c r="E141">
        <v>-1.82</v>
      </c>
      <c r="F141">
        <v>19.13</v>
      </c>
      <c r="M141">
        <v>8.96</v>
      </c>
      <c r="N141">
        <v>8.78</v>
      </c>
      <c r="O141">
        <v>8.78</v>
      </c>
      <c r="P141">
        <v>9.59</v>
      </c>
      <c r="Q141">
        <v>62.2</v>
      </c>
      <c r="R141" t="s">
        <v>137</v>
      </c>
    </row>
    <row r="142" spans="1:18">
      <c r="A142" t="s">
        <v>192</v>
      </c>
      <c r="B142" t="s">
        <v>136</v>
      </c>
      <c r="C142" t="s">
        <v>92</v>
      </c>
      <c r="D142">
        <v>6.44</v>
      </c>
      <c r="E142">
        <v>2.55</v>
      </c>
      <c r="F142">
        <v>4.21</v>
      </c>
      <c r="M142">
        <v>6.4</v>
      </c>
      <c r="N142">
        <v>6.38</v>
      </c>
      <c r="O142">
        <v>6.66</v>
      </c>
      <c r="P142">
        <v>7.87</v>
      </c>
      <c r="Q142">
        <v>37.56</v>
      </c>
      <c r="R142" t="s">
        <v>172</v>
      </c>
    </row>
    <row r="143" spans="1:18">
      <c r="A143" t="s">
        <v>192</v>
      </c>
      <c r="B143" t="s">
        <v>100</v>
      </c>
      <c r="C143" t="s">
        <v>99</v>
      </c>
      <c r="D143">
        <v>2.9</v>
      </c>
      <c r="E143">
        <v>9.85</v>
      </c>
      <c r="F143">
        <v>3.55</v>
      </c>
      <c r="M143">
        <v>2.73</v>
      </c>
      <c r="N143">
        <v>2.66</v>
      </c>
      <c r="O143">
        <v>2.65</v>
      </c>
      <c r="P143">
        <v>2.83</v>
      </c>
      <c r="Q143">
        <v>64.65</v>
      </c>
      <c r="R143" t="s">
        <v>177</v>
      </c>
    </row>
    <row r="144" spans="1:18">
      <c r="A144" t="s">
        <v>192</v>
      </c>
      <c r="B144" t="s">
        <v>103</v>
      </c>
      <c r="C144" t="s">
        <v>102</v>
      </c>
      <c r="D144">
        <v>15.6</v>
      </c>
      <c r="E144">
        <v>-0.32</v>
      </c>
      <c r="F144">
        <v>11.59</v>
      </c>
      <c r="M144">
        <v>15.45</v>
      </c>
      <c r="N144">
        <v>15</v>
      </c>
      <c r="O144">
        <v>15.04</v>
      </c>
      <c r="P144">
        <v>16.01</v>
      </c>
      <c r="Q144">
        <v>53</v>
      </c>
      <c r="R144" t="s">
        <v>146</v>
      </c>
    </row>
    <row r="145" spans="1:18">
      <c r="A145" t="s">
        <v>192</v>
      </c>
      <c r="B145" t="s">
        <v>140</v>
      </c>
      <c r="C145" t="s">
        <v>141</v>
      </c>
      <c r="D145">
        <v>9.81</v>
      </c>
      <c r="E145">
        <v>1.34</v>
      </c>
      <c r="F145">
        <v>1.31</v>
      </c>
      <c r="M145">
        <v>9.72</v>
      </c>
      <c r="N145">
        <v>9.61</v>
      </c>
      <c r="O145">
        <v>9.59</v>
      </c>
      <c r="P145">
        <v>9.17</v>
      </c>
      <c r="Q145">
        <v>41.98</v>
      </c>
      <c r="R145" t="s">
        <v>137</v>
      </c>
    </row>
    <row r="146" spans="1:18">
      <c r="A146" t="s">
        <v>193</v>
      </c>
      <c r="B146" t="s">
        <v>69</v>
      </c>
      <c r="C146" t="s">
        <v>68</v>
      </c>
      <c r="D146">
        <v>35.45</v>
      </c>
      <c r="E146">
        <v>-0.81</v>
      </c>
      <c r="F146">
        <v>6.04</v>
      </c>
      <c r="M146">
        <v>35.38</v>
      </c>
      <c r="N146">
        <v>34.41</v>
      </c>
      <c r="O146">
        <v>34.22</v>
      </c>
      <c r="P146">
        <v>37.09</v>
      </c>
      <c r="Q146">
        <v>57.66</v>
      </c>
      <c r="R146" t="s">
        <v>137</v>
      </c>
    </row>
    <row r="147" spans="1:18">
      <c r="A147" t="s">
        <v>193</v>
      </c>
      <c r="B147" t="s">
        <v>76</v>
      </c>
      <c r="C147" t="s">
        <v>75</v>
      </c>
      <c r="D147">
        <v>8.5</v>
      </c>
      <c r="E147">
        <v>0.35</v>
      </c>
      <c r="F147">
        <v>1.06</v>
      </c>
      <c r="M147">
        <v>8.4</v>
      </c>
      <c r="N147">
        <v>8.35</v>
      </c>
      <c r="O147">
        <v>8.26</v>
      </c>
      <c r="P147">
        <v>9.2</v>
      </c>
      <c r="Q147">
        <v>60.29</v>
      </c>
      <c r="R147" t="s">
        <v>143</v>
      </c>
    </row>
    <row r="148" spans="1:18">
      <c r="A148" t="s">
        <v>193</v>
      </c>
      <c r="B148" t="s">
        <v>133</v>
      </c>
      <c r="C148" t="s">
        <v>82</v>
      </c>
      <c r="D148">
        <v>9.53</v>
      </c>
      <c r="E148">
        <v>1.17</v>
      </c>
      <c r="F148">
        <v>2.2</v>
      </c>
      <c r="M148">
        <v>9.58</v>
      </c>
      <c r="N148">
        <v>9.69</v>
      </c>
      <c r="O148">
        <v>9.84</v>
      </c>
      <c r="P148">
        <v>10.83</v>
      </c>
      <c r="Q148">
        <v>41.64</v>
      </c>
      <c r="R148" t="s">
        <v>137</v>
      </c>
    </row>
    <row r="149" spans="1:18">
      <c r="A149" t="s">
        <v>193</v>
      </c>
      <c r="B149" t="s">
        <v>88</v>
      </c>
      <c r="C149" t="s">
        <v>87</v>
      </c>
      <c r="D149">
        <v>9.21</v>
      </c>
      <c r="E149">
        <v>0.33</v>
      </c>
      <c r="F149">
        <v>11.85</v>
      </c>
      <c r="M149">
        <v>9.05</v>
      </c>
      <c r="N149">
        <v>8.84</v>
      </c>
      <c r="O149">
        <v>8.78</v>
      </c>
      <c r="P149">
        <v>9.57</v>
      </c>
      <c r="Q149">
        <v>61.65</v>
      </c>
      <c r="R149" t="s">
        <v>137</v>
      </c>
    </row>
    <row r="150" spans="1:18">
      <c r="A150" t="s">
        <v>193</v>
      </c>
      <c r="B150" t="s">
        <v>136</v>
      </c>
      <c r="C150" t="s">
        <v>92</v>
      </c>
      <c r="D150">
        <v>6.49</v>
      </c>
      <c r="E150">
        <v>0.78</v>
      </c>
      <c r="F150">
        <v>3.5</v>
      </c>
      <c r="M150">
        <v>6.43</v>
      </c>
      <c r="N150">
        <v>6.39</v>
      </c>
      <c r="O150">
        <v>6.64</v>
      </c>
      <c r="P150">
        <v>7.86</v>
      </c>
      <c r="Q150">
        <v>38.76</v>
      </c>
      <c r="R150" t="s">
        <v>172</v>
      </c>
    </row>
    <row r="151" spans="1:18">
      <c r="A151" t="s">
        <v>193</v>
      </c>
      <c r="B151" t="s">
        <v>100</v>
      </c>
      <c r="C151" t="s">
        <v>99</v>
      </c>
      <c r="D151">
        <v>2.87</v>
      </c>
      <c r="E151">
        <v>-1.03</v>
      </c>
      <c r="F151">
        <v>5.22</v>
      </c>
      <c r="M151">
        <v>2.77</v>
      </c>
      <c r="N151">
        <v>2.69</v>
      </c>
      <c r="O151">
        <v>2.66</v>
      </c>
      <c r="P151">
        <v>2.82</v>
      </c>
      <c r="Q151">
        <v>61.62</v>
      </c>
      <c r="R151" t="s">
        <v>145</v>
      </c>
    </row>
    <row r="152" spans="1:18">
      <c r="A152" t="s">
        <v>193</v>
      </c>
      <c r="B152" t="s">
        <v>103</v>
      </c>
      <c r="C152" t="s">
        <v>102</v>
      </c>
      <c r="D152">
        <v>15.72</v>
      </c>
      <c r="E152">
        <v>0.77</v>
      </c>
      <c r="F152">
        <v>14.97</v>
      </c>
      <c r="M152">
        <v>15.59</v>
      </c>
      <c r="N152">
        <v>15.13</v>
      </c>
      <c r="O152">
        <v>15.02</v>
      </c>
      <c r="P152">
        <v>15.99</v>
      </c>
      <c r="Q152">
        <v>61.02</v>
      </c>
      <c r="R152" t="s">
        <v>146</v>
      </c>
    </row>
    <row r="153" spans="1:18">
      <c r="A153" t="s">
        <v>193</v>
      </c>
      <c r="B153" t="s">
        <v>140</v>
      </c>
      <c r="C153" t="s">
        <v>141</v>
      </c>
      <c r="D153">
        <v>9.88</v>
      </c>
      <c r="E153">
        <v>0.71</v>
      </c>
      <c r="F153">
        <v>2.18</v>
      </c>
      <c r="M153">
        <v>9.79</v>
      </c>
      <c r="N153">
        <v>9.64</v>
      </c>
      <c r="O153">
        <v>9.62</v>
      </c>
      <c r="P153">
        <v>9.21</v>
      </c>
      <c r="Q153">
        <v>50.46</v>
      </c>
      <c r="R153" t="s">
        <v>137</v>
      </c>
    </row>
    <row r="154" spans="1:18">
      <c r="A154" t="s">
        <v>194</v>
      </c>
      <c r="B154" t="s">
        <v>69</v>
      </c>
      <c r="C154" t="s">
        <v>68</v>
      </c>
      <c r="D154">
        <v>35.23</v>
      </c>
      <c r="E154">
        <v>-0.62</v>
      </c>
      <c r="F154">
        <v>9.81</v>
      </c>
      <c r="M154">
        <v>35.52</v>
      </c>
      <c r="N154">
        <v>34.69</v>
      </c>
      <c r="O154">
        <v>34.21</v>
      </c>
      <c r="P154">
        <v>37.06</v>
      </c>
      <c r="Q154">
        <v>55.73</v>
      </c>
      <c r="R154" t="s">
        <v>137</v>
      </c>
    </row>
    <row r="155" spans="1:18">
      <c r="A155" t="s">
        <v>194</v>
      </c>
      <c r="B155" t="s">
        <v>76</v>
      </c>
      <c r="C155" t="s">
        <v>75</v>
      </c>
      <c r="D155">
        <v>8.61</v>
      </c>
      <c r="E155">
        <v>1.29</v>
      </c>
      <c r="F155">
        <v>1.14</v>
      </c>
      <c r="M155">
        <v>8.46</v>
      </c>
      <c r="N155">
        <v>8.4</v>
      </c>
      <c r="O155">
        <v>8.28</v>
      </c>
      <c r="P155">
        <v>9.16</v>
      </c>
      <c r="Q155">
        <v>61.97</v>
      </c>
      <c r="R155" t="s">
        <v>195</v>
      </c>
    </row>
    <row r="156" spans="1:18">
      <c r="A156" t="s">
        <v>194</v>
      </c>
      <c r="B156" t="s">
        <v>133</v>
      </c>
      <c r="C156" t="s">
        <v>82</v>
      </c>
      <c r="D156">
        <v>9.33</v>
      </c>
      <c r="E156">
        <v>-2.1</v>
      </c>
      <c r="F156">
        <v>2.23</v>
      </c>
      <c r="M156">
        <v>9.45</v>
      </c>
      <c r="N156">
        <v>9.63</v>
      </c>
      <c r="O156">
        <v>9.8</v>
      </c>
      <c r="P156">
        <v>10.79</v>
      </c>
      <c r="Q156">
        <v>38.67</v>
      </c>
      <c r="R156" t="s">
        <v>137</v>
      </c>
    </row>
    <row r="157" spans="1:18">
      <c r="A157" t="s">
        <v>194</v>
      </c>
      <c r="B157" t="s">
        <v>88</v>
      </c>
      <c r="C157" t="s">
        <v>87</v>
      </c>
      <c r="D157">
        <v>9.57</v>
      </c>
      <c r="E157">
        <v>3.91</v>
      </c>
      <c r="F157">
        <v>20.81</v>
      </c>
      <c r="M157">
        <v>9.22</v>
      </c>
      <c r="N157">
        <v>8.95</v>
      </c>
      <c r="O157">
        <v>8.81</v>
      </c>
      <c r="P157">
        <v>9.56</v>
      </c>
      <c r="Q157">
        <v>67.22</v>
      </c>
      <c r="R157" t="s">
        <v>137</v>
      </c>
    </row>
    <row r="158" spans="1:18">
      <c r="A158" t="s">
        <v>194</v>
      </c>
      <c r="B158" t="s">
        <v>136</v>
      </c>
      <c r="C158" t="s">
        <v>92</v>
      </c>
      <c r="D158">
        <v>6.58</v>
      </c>
      <c r="E158">
        <v>1.39</v>
      </c>
      <c r="F158">
        <v>4.24</v>
      </c>
      <c r="M158">
        <v>6.44</v>
      </c>
      <c r="N158">
        <v>6.43</v>
      </c>
      <c r="O158">
        <v>6.63</v>
      </c>
      <c r="P158">
        <v>7.85</v>
      </c>
      <c r="Q158">
        <v>43.69</v>
      </c>
      <c r="R158" t="s">
        <v>196</v>
      </c>
    </row>
    <row r="159" spans="1:18">
      <c r="A159" t="s">
        <v>194</v>
      </c>
      <c r="B159" t="s">
        <v>100</v>
      </c>
      <c r="C159" t="s">
        <v>99</v>
      </c>
      <c r="D159">
        <v>2.9</v>
      </c>
      <c r="E159">
        <v>1.05</v>
      </c>
      <c r="F159">
        <v>3.57</v>
      </c>
      <c r="M159">
        <v>2.8</v>
      </c>
      <c r="N159">
        <v>2.74</v>
      </c>
      <c r="O159">
        <v>2.67</v>
      </c>
      <c r="P159">
        <v>2.82</v>
      </c>
      <c r="Q159">
        <v>62.38</v>
      </c>
      <c r="R159" t="s">
        <v>145</v>
      </c>
    </row>
    <row r="160" spans="1:18">
      <c r="A160" t="s">
        <v>194</v>
      </c>
      <c r="B160" t="s">
        <v>103</v>
      </c>
      <c r="C160" t="s">
        <v>102</v>
      </c>
      <c r="D160">
        <v>15.85</v>
      </c>
      <c r="E160">
        <v>0.83</v>
      </c>
      <c r="F160">
        <v>12.75</v>
      </c>
      <c r="M160">
        <v>15.68</v>
      </c>
      <c r="N160">
        <v>15.3</v>
      </c>
      <c r="O160">
        <v>15.03</v>
      </c>
      <c r="P160">
        <v>15.98</v>
      </c>
      <c r="Q160">
        <v>66.1</v>
      </c>
      <c r="R160" t="s">
        <v>146</v>
      </c>
    </row>
    <row r="161" spans="1:18">
      <c r="A161" t="s">
        <v>194</v>
      </c>
      <c r="B161" t="s">
        <v>140</v>
      </c>
      <c r="C161" t="s">
        <v>141</v>
      </c>
      <c r="D161">
        <v>10.21</v>
      </c>
      <c r="E161">
        <v>3.34</v>
      </c>
      <c r="F161">
        <v>2.55</v>
      </c>
      <c r="M161">
        <v>9.88</v>
      </c>
      <c r="N161">
        <v>9.73</v>
      </c>
      <c r="O161">
        <v>9.66</v>
      </c>
      <c r="P161">
        <v>9.24</v>
      </c>
      <c r="Q161">
        <v>69.95</v>
      </c>
      <c r="R161" t="s">
        <v>137</v>
      </c>
    </row>
    <row r="162" spans="1:18">
      <c r="A162" t="s">
        <v>197</v>
      </c>
      <c r="B162" t="s">
        <v>69</v>
      </c>
      <c r="C162" t="s">
        <v>68</v>
      </c>
      <c r="D162">
        <v>35.1</v>
      </c>
      <c r="E162">
        <v>-0.37</v>
      </c>
      <c r="F162">
        <v>7.83</v>
      </c>
      <c r="M162">
        <v>35.45</v>
      </c>
      <c r="N162">
        <v>34.99</v>
      </c>
      <c r="O162">
        <v>34.28</v>
      </c>
      <c r="P162">
        <v>37.02</v>
      </c>
      <c r="Q162">
        <v>62.24</v>
      </c>
      <c r="R162" t="s">
        <v>137</v>
      </c>
    </row>
    <row r="163" spans="1:18">
      <c r="A163" t="s">
        <v>197</v>
      </c>
      <c r="B163" t="s">
        <v>76</v>
      </c>
      <c r="C163" t="s">
        <v>75</v>
      </c>
      <c r="D163">
        <v>8.41</v>
      </c>
      <c r="E163">
        <v>-2.32</v>
      </c>
      <c r="F163">
        <v>1.43</v>
      </c>
      <c r="M163">
        <v>8.45</v>
      </c>
      <c r="N163">
        <v>8.42</v>
      </c>
      <c r="O163">
        <v>8.3</v>
      </c>
      <c r="P163">
        <v>9.1</v>
      </c>
      <c r="Q163">
        <v>55.7</v>
      </c>
      <c r="R163" t="s">
        <v>143</v>
      </c>
    </row>
    <row r="164" spans="1:18">
      <c r="A164" t="s">
        <v>197</v>
      </c>
      <c r="B164" t="s">
        <v>133</v>
      </c>
      <c r="C164" t="s">
        <v>82</v>
      </c>
      <c r="D164">
        <v>9.19</v>
      </c>
      <c r="E164">
        <v>-1.5</v>
      </c>
      <c r="F164">
        <v>1.55</v>
      </c>
      <c r="M164">
        <v>9.38</v>
      </c>
      <c r="N164">
        <v>9.6</v>
      </c>
      <c r="O164">
        <v>9.77</v>
      </c>
      <c r="P164">
        <v>10.74</v>
      </c>
      <c r="Q164">
        <v>37.3</v>
      </c>
      <c r="R164" t="s">
        <v>137</v>
      </c>
    </row>
    <row r="165" spans="1:18">
      <c r="A165" t="s">
        <v>197</v>
      </c>
      <c r="B165" t="s">
        <v>88</v>
      </c>
      <c r="C165" t="s">
        <v>87</v>
      </c>
      <c r="D165">
        <v>9.47</v>
      </c>
      <c r="E165">
        <v>-1.04</v>
      </c>
      <c r="F165">
        <v>10.01</v>
      </c>
      <c r="M165">
        <v>9.36</v>
      </c>
      <c r="N165">
        <v>9.05</v>
      </c>
      <c r="O165">
        <v>8.86</v>
      </c>
      <c r="P165">
        <v>9.54</v>
      </c>
      <c r="Q165">
        <v>66.39</v>
      </c>
      <c r="R165" t="s">
        <v>137</v>
      </c>
    </row>
    <row r="166" spans="1:18">
      <c r="A166" t="s">
        <v>197</v>
      </c>
      <c r="B166" t="s">
        <v>136</v>
      </c>
      <c r="C166" t="s">
        <v>92</v>
      </c>
      <c r="D166">
        <v>6.56</v>
      </c>
      <c r="E166">
        <v>-0.3</v>
      </c>
      <c r="F166">
        <v>3.11</v>
      </c>
      <c r="M166">
        <v>6.47</v>
      </c>
      <c r="N166">
        <v>6.46</v>
      </c>
      <c r="O166">
        <v>6.6</v>
      </c>
      <c r="P166">
        <v>7.84</v>
      </c>
      <c r="Q166">
        <v>50</v>
      </c>
      <c r="R166" t="s">
        <v>198</v>
      </c>
    </row>
    <row r="167" spans="1:18">
      <c r="A167" t="s">
        <v>197</v>
      </c>
      <c r="B167" t="s">
        <v>100</v>
      </c>
      <c r="C167" t="s">
        <v>99</v>
      </c>
      <c r="D167">
        <v>2.85</v>
      </c>
      <c r="E167">
        <v>-1.72</v>
      </c>
      <c r="F167">
        <v>2.07</v>
      </c>
      <c r="M167">
        <v>2.83</v>
      </c>
      <c r="N167">
        <v>2.78</v>
      </c>
      <c r="O167">
        <v>2.68</v>
      </c>
      <c r="P167">
        <v>2.82</v>
      </c>
      <c r="Q167">
        <v>63</v>
      </c>
      <c r="R167" t="s">
        <v>145</v>
      </c>
    </row>
    <row r="168" spans="1:18">
      <c r="A168" t="s">
        <v>197</v>
      </c>
      <c r="B168" t="s">
        <v>103</v>
      </c>
      <c r="C168" t="s">
        <v>102</v>
      </c>
      <c r="D168">
        <v>15.41</v>
      </c>
      <c r="E168">
        <v>-2.78</v>
      </c>
      <c r="F168">
        <v>12.5</v>
      </c>
      <c r="M168">
        <v>15.65</v>
      </c>
      <c r="N168">
        <v>15.41</v>
      </c>
      <c r="O168">
        <v>15.09</v>
      </c>
      <c r="P168">
        <v>15.96</v>
      </c>
      <c r="Q168">
        <v>61.08</v>
      </c>
      <c r="R168" t="s">
        <v>146</v>
      </c>
    </row>
    <row r="169" spans="1:18">
      <c r="A169" t="s">
        <v>197</v>
      </c>
      <c r="B169" t="s">
        <v>140</v>
      </c>
      <c r="C169" t="s">
        <v>141</v>
      </c>
      <c r="D169">
        <v>10.47</v>
      </c>
      <c r="E169">
        <v>2.55</v>
      </c>
      <c r="F169">
        <v>3.58</v>
      </c>
      <c r="M169">
        <v>10.01</v>
      </c>
      <c r="N169">
        <v>9.84</v>
      </c>
      <c r="O169">
        <v>9.73</v>
      </c>
      <c r="P169">
        <v>9.28</v>
      </c>
      <c r="Q169">
        <v>72.77</v>
      </c>
      <c r="R169" t="s">
        <v>137</v>
      </c>
    </row>
    <row r="170" spans="1:18">
      <c r="A170" t="s">
        <v>199</v>
      </c>
      <c r="B170" t="s">
        <v>69</v>
      </c>
      <c r="C170" t="s">
        <v>68</v>
      </c>
      <c r="D170">
        <v>36.14</v>
      </c>
      <c r="E170">
        <v>2.96</v>
      </c>
      <c r="F170">
        <v>8.72</v>
      </c>
      <c r="M170">
        <v>35.53</v>
      </c>
      <c r="N170">
        <v>35.15</v>
      </c>
      <c r="O170">
        <v>34.38</v>
      </c>
      <c r="P170">
        <v>36.98</v>
      </c>
      <c r="Q170">
        <v>62.7</v>
      </c>
      <c r="R170" t="s">
        <v>137</v>
      </c>
    </row>
    <row r="171" spans="1:18">
      <c r="A171" t="s">
        <v>199</v>
      </c>
      <c r="B171" t="s">
        <v>76</v>
      </c>
      <c r="C171" t="s">
        <v>75</v>
      </c>
      <c r="D171">
        <v>8.48</v>
      </c>
      <c r="E171">
        <v>0.83</v>
      </c>
      <c r="F171">
        <v>1.14</v>
      </c>
      <c r="M171">
        <v>8.49</v>
      </c>
      <c r="N171">
        <v>8.42</v>
      </c>
      <c r="O171">
        <v>8.32</v>
      </c>
      <c r="P171">
        <v>9.05</v>
      </c>
      <c r="Q171">
        <v>55.97</v>
      </c>
      <c r="R171" t="s">
        <v>143</v>
      </c>
    </row>
    <row r="172" spans="1:18">
      <c r="A172" t="s">
        <v>199</v>
      </c>
      <c r="B172" t="s">
        <v>133</v>
      </c>
      <c r="C172" t="s">
        <v>82</v>
      </c>
      <c r="D172">
        <v>9.29</v>
      </c>
      <c r="E172">
        <v>1.09</v>
      </c>
      <c r="F172">
        <v>0.88</v>
      </c>
      <c r="M172">
        <v>9.35</v>
      </c>
      <c r="N172">
        <v>9.53</v>
      </c>
      <c r="O172">
        <v>9.74</v>
      </c>
      <c r="P172">
        <v>10.69</v>
      </c>
      <c r="Q172">
        <v>33.67</v>
      </c>
      <c r="R172" t="s">
        <v>137</v>
      </c>
    </row>
    <row r="173" spans="1:18">
      <c r="A173" t="s">
        <v>199</v>
      </c>
      <c r="B173" t="s">
        <v>88</v>
      </c>
      <c r="C173" t="s">
        <v>87</v>
      </c>
      <c r="D173">
        <v>9.53</v>
      </c>
      <c r="E173">
        <v>0.63</v>
      </c>
      <c r="F173">
        <v>12.55</v>
      </c>
      <c r="M173">
        <v>9.39</v>
      </c>
      <c r="N173">
        <v>9.12</v>
      </c>
      <c r="O173">
        <v>8.9</v>
      </c>
      <c r="P173">
        <v>9.53</v>
      </c>
      <c r="Q173">
        <v>65.69</v>
      </c>
      <c r="R173" t="s">
        <v>137</v>
      </c>
    </row>
    <row r="174" spans="1:18">
      <c r="A174" t="s">
        <v>199</v>
      </c>
      <c r="B174" t="s">
        <v>136</v>
      </c>
      <c r="C174" t="s">
        <v>92</v>
      </c>
      <c r="D174">
        <v>6.6</v>
      </c>
      <c r="E174">
        <v>0.61</v>
      </c>
      <c r="F174">
        <v>3.2</v>
      </c>
      <c r="M174">
        <v>6.53</v>
      </c>
      <c r="N174">
        <v>6.47</v>
      </c>
      <c r="O174">
        <v>6.56</v>
      </c>
      <c r="P174">
        <v>7.82</v>
      </c>
      <c r="Q174">
        <v>49.44</v>
      </c>
      <c r="R174" t="s">
        <v>200</v>
      </c>
    </row>
    <row r="175" spans="1:18">
      <c r="A175" t="s">
        <v>199</v>
      </c>
      <c r="B175" t="s">
        <v>100</v>
      </c>
      <c r="C175" t="s">
        <v>99</v>
      </c>
      <c r="D175">
        <v>2.81</v>
      </c>
      <c r="E175">
        <v>-1.4</v>
      </c>
      <c r="F175">
        <v>1.73</v>
      </c>
      <c r="M175">
        <v>2.87</v>
      </c>
      <c r="N175">
        <v>2.78</v>
      </c>
      <c r="O175">
        <v>2.69</v>
      </c>
      <c r="P175">
        <v>2.81</v>
      </c>
      <c r="Q175">
        <v>59.8</v>
      </c>
      <c r="R175" t="s">
        <v>145</v>
      </c>
    </row>
    <row r="176" spans="1:18">
      <c r="A176" t="s">
        <v>199</v>
      </c>
      <c r="B176" t="s">
        <v>103</v>
      </c>
      <c r="C176" t="s">
        <v>102</v>
      </c>
      <c r="D176">
        <v>15.61</v>
      </c>
      <c r="E176">
        <v>1.3</v>
      </c>
      <c r="F176">
        <v>9.83</v>
      </c>
      <c r="M176">
        <v>15.64</v>
      </c>
      <c r="N176">
        <v>15.48</v>
      </c>
      <c r="O176">
        <v>15.13</v>
      </c>
      <c r="P176">
        <v>15.95</v>
      </c>
      <c r="Q176">
        <v>61.8</v>
      </c>
      <c r="R176" t="s">
        <v>146</v>
      </c>
    </row>
    <row r="177" spans="1:18">
      <c r="A177" t="s">
        <v>199</v>
      </c>
      <c r="B177" t="s">
        <v>140</v>
      </c>
      <c r="C177" t="s">
        <v>141</v>
      </c>
      <c r="D177">
        <v>10.4</v>
      </c>
      <c r="E177">
        <v>-0.67</v>
      </c>
      <c r="F177">
        <v>2.18</v>
      </c>
      <c r="M177">
        <v>10.15</v>
      </c>
      <c r="N177">
        <v>9.93</v>
      </c>
      <c r="O177">
        <v>9.77</v>
      </c>
      <c r="P177">
        <v>9.32</v>
      </c>
      <c r="Q177">
        <v>67.15</v>
      </c>
      <c r="R177" t="s">
        <v>137</v>
      </c>
    </row>
    <row r="178" spans="1:18">
      <c r="A178" t="s">
        <v>201</v>
      </c>
      <c r="B178" t="s">
        <v>69</v>
      </c>
      <c r="C178" t="s">
        <v>68</v>
      </c>
      <c r="D178">
        <v>35.51</v>
      </c>
      <c r="E178">
        <v>-1.74</v>
      </c>
      <c r="F178">
        <v>7.71</v>
      </c>
      <c r="M178">
        <v>35.49</v>
      </c>
      <c r="N178">
        <v>35.32</v>
      </c>
      <c r="O178">
        <v>34.42</v>
      </c>
      <c r="P178">
        <v>36.95</v>
      </c>
      <c r="Q178">
        <v>68.37</v>
      </c>
      <c r="R178" t="s">
        <v>137</v>
      </c>
    </row>
    <row r="179" spans="1:18">
      <c r="A179" t="s">
        <v>201</v>
      </c>
      <c r="B179" t="s">
        <v>76</v>
      </c>
      <c r="C179" t="s">
        <v>75</v>
      </c>
      <c r="D179">
        <v>8.12</v>
      </c>
      <c r="E179">
        <v>-4.25</v>
      </c>
      <c r="F179">
        <v>2.17</v>
      </c>
      <c r="M179">
        <v>8.42</v>
      </c>
      <c r="N179">
        <v>8.4</v>
      </c>
      <c r="O179">
        <v>8.31</v>
      </c>
      <c r="P179">
        <v>9</v>
      </c>
      <c r="Q179">
        <v>49.17</v>
      </c>
      <c r="R179" t="s">
        <v>202</v>
      </c>
    </row>
    <row r="180" spans="1:18">
      <c r="A180" t="s">
        <v>201</v>
      </c>
      <c r="B180" t="s">
        <v>133</v>
      </c>
      <c r="C180" t="s">
        <v>82</v>
      </c>
      <c r="D180">
        <v>9.19</v>
      </c>
      <c r="E180">
        <v>-1.08</v>
      </c>
      <c r="F180">
        <v>0.76</v>
      </c>
      <c r="M180">
        <v>9.31</v>
      </c>
      <c r="N180">
        <v>9.48</v>
      </c>
      <c r="O180">
        <v>9.7</v>
      </c>
      <c r="P180">
        <v>10.65</v>
      </c>
      <c r="Q180">
        <v>35.61</v>
      </c>
      <c r="R180" t="s">
        <v>137</v>
      </c>
    </row>
    <row r="181" spans="1:18">
      <c r="A181" t="s">
        <v>201</v>
      </c>
      <c r="B181" t="s">
        <v>88</v>
      </c>
      <c r="C181" t="s">
        <v>87</v>
      </c>
      <c r="D181">
        <v>9.28</v>
      </c>
      <c r="E181">
        <v>-2.62</v>
      </c>
      <c r="F181">
        <v>10.4</v>
      </c>
      <c r="M181">
        <v>9.41</v>
      </c>
      <c r="N181">
        <v>9.18</v>
      </c>
      <c r="O181">
        <v>8.92</v>
      </c>
      <c r="P181">
        <v>9.51</v>
      </c>
      <c r="Q181">
        <v>63.82</v>
      </c>
      <c r="R181" t="s">
        <v>137</v>
      </c>
    </row>
    <row r="182" spans="1:18">
      <c r="A182" t="s">
        <v>201</v>
      </c>
      <c r="B182" t="s">
        <v>136</v>
      </c>
      <c r="C182" t="s">
        <v>92</v>
      </c>
      <c r="D182">
        <v>6.4</v>
      </c>
      <c r="E182">
        <v>-3.03</v>
      </c>
      <c r="F182">
        <v>4.9</v>
      </c>
      <c r="M182">
        <v>6.53</v>
      </c>
      <c r="N182">
        <v>6.46</v>
      </c>
      <c r="O182">
        <v>6.52</v>
      </c>
      <c r="P182">
        <v>7.81</v>
      </c>
      <c r="Q182">
        <v>50.57</v>
      </c>
      <c r="R182" t="s">
        <v>203</v>
      </c>
    </row>
    <row r="183" spans="1:18">
      <c r="A183" t="s">
        <v>201</v>
      </c>
      <c r="B183" t="s">
        <v>100</v>
      </c>
      <c r="C183" t="s">
        <v>99</v>
      </c>
      <c r="D183">
        <v>2.8</v>
      </c>
      <c r="E183">
        <v>-0.36</v>
      </c>
      <c r="F183">
        <v>1.44</v>
      </c>
      <c r="M183">
        <v>2.85</v>
      </c>
      <c r="N183">
        <v>2.79</v>
      </c>
      <c r="O183">
        <v>2.7</v>
      </c>
      <c r="P183">
        <v>2.81</v>
      </c>
      <c r="Q183">
        <v>62.89</v>
      </c>
      <c r="R183" t="s">
        <v>145</v>
      </c>
    </row>
    <row r="184" spans="1:18">
      <c r="A184" t="s">
        <v>201</v>
      </c>
      <c r="B184" t="s">
        <v>103</v>
      </c>
      <c r="C184" t="s">
        <v>102</v>
      </c>
      <c r="D184">
        <v>16.19</v>
      </c>
      <c r="E184">
        <v>3.72</v>
      </c>
      <c r="F184">
        <v>40.06</v>
      </c>
      <c r="M184">
        <v>15.76</v>
      </c>
      <c r="N184">
        <v>15.6</v>
      </c>
      <c r="O184">
        <v>15.19</v>
      </c>
      <c r="P184">
        <v>15.95</v>
      </c>
      <c r="Q184">
        <v>76.04</v>
      </c>
      <c r="R184" t="s">
        <v>146</v>
      </c>
    </row>
    <row r="185" spans="1:18">
      <c r="A185" t="s">
        <v>201</v>
      </c>
      <c r="B185" t="s">
        <v>140</v>
      </c>
      <c r="C185" t="s">
        <v>141</v>
      </c>
      <c r="D185">
        <v>10.15</v>
      </c>
      <c r="E185">
        <v>-2.4</v>
      </c>
      <c r="F185">
        <v>2.67</v>
      </c>
      <c r="M185">
        <v>10.22</v>
      </c>
      <c r="N185">
        <v>9.97</v>
      </c>
      <c r="O185">
        <v>9.79</v>
      </c>
      <c r="P185">
        <v>9.35</v>
      </c>
      <c r="Q185">
        <v>63.47</v>
      </c>
      <c r="R185" t="s">
        <v>137</v>
      </c>
    </row>
    <row r="186" spans="1:18">
      <c r="A186" t="s">
        <v>204</v>
      </c>
      <c r="B186" t="s">
        <v>69</v>
      </c>
      <c r="C186" t="s">
        <v>68</v>
      </c>
      <c r="D186">
        <v>35.23</v>
      </c>
      <c r="E186">
        <v>-0.79</v>
      </c>
      <c r="F186">
        <v>6.32</v>
      </c>
      <c r="M186">
        <v>35.44</v>
      </c>
      <c r="N186">
        <v>35.41</v>
      </c>
      <c r="O186">
        <v>34.47</v>
      </c>
      <c r="P186">
        <v>36.89</v>
      </c>
      <c r="Q186">
        <v>68.37</v>
      </c>
      <c r="R186" t="s">
        <v>137</v>
      </c>
    </row>
    <row r="187" spans="1:18">
      <c r="A187" t="s">
        <v>204</v>
      </c>
      <c r="B187" t="s">
        <v>76</v>
      </c>
      <c r="C187" t="s">
        <v>75</v>
      </c>
      <c r="D187">
        <v>8.15</v>
      </c>
      <c r="E187">
        <v>0.37</v>
      </c>
      <c r="F187">
        <v>1.4</v>
      </c>
      <c r="M187">
        <v>8.35</v>
      </c>
      <c r="N187">
        <v>8.38</v>
      </c>
      <c r="O187">
        <v>8.32</v>
      </c>
      <c r="P187">
        <v>8.98</v>
      </c>
      <c r="Q187">
        <v>52.57</v>
      </c>
      <c r="R187" t="s">
        <v>143</v>
      </c>
    </row>
    <row r="188" spans="1:18">
      <c r="A188" t="s">
        <v>204</v>
      </c>
      <c r="B188" t="s">
        <v>133</v>
      </c>
      <c r="C188" t="s">
        <v>82</v>
      </c>
      <c r="D188">
        <v>9.1</v>
      </c>
      <c r="E188">
        <v>-0.98</v>
      </c>
      <c r="F188">
        <v>0.78</v>
      </c>
      <c r="M188">
        <v>9.22</v>
      </c>
      <c r="N188">
        <v>9.4</v>
      </c>
      <c r="O188">
        <v>9.66</v>
      </c>
      <c r="P188">
        <v>10.6</v>
      </c>
      <c r="Q188">
        <v>35.87</v>
      </c>
      <c r="R188" t="s">
        <v>137</v>
      </c>
    </row>
    <row r="189" spans="1:18">
      <c r="A189" t="s">
        <v>204</v>
      </c>
      <c r="B189" t="s">
        <v>88</v>
      </c>
      <c r="C189" t="s">
        <v>87</v>
      </c>
      <c r="D189">
        <v>9.36</v>
      </c>
      <c r="E189">
        <v>0.86</v>
      </c>
      <c r="F189">
        <v>11.51</v>
      </c>
      <c r="M189">
        <v>9.44</v>
      </c>
      <c r="N189">
        <v>9.25</v>
      </c>
      <c r="O189">
        <v>8.96</v>
      </c>
      <c r="P189">
        <v>9.49</v>
      </c>
      <c r="Q189">
        <v>69.04</v>
      </c>
      <c r="R189" t="s">
        <v>137</v>
      </c>
    </row>
    <row r="190" spans="1:18">
      <c r="A190" t="s">
        <v>204</v>
      </c>
      <c r="B190" t="s">
        <v>136</v>
      </c>
      <c r="C190" t="s">
        <v>92</v>
      </c>
      <c r="D190">
        <v>6.33</v>
      </c>
      <c r="E190">
        <v>-1.09</v>
      </c>
      <c r="F190">
        <v>2.92</v>
      </c>
      <c r="M190">
        <v>6.49</v>
      </c>
      <c r="N190">
        <v>6.46</v>
      </c>
      <c r="O190">
        <v>6.49</v>
      </c>
      <c r="P190">
        <v>7.8</v>
      </c>
      <c r="Q190">
        <v>55.35</v>
      </c>
      <c r="R190" t="s">
        <v>172</v>
      </c>
    </row>
    <row r="191" spans="1:18">
      <c r="A191" t="s">
        <v>204</v>
      </c>
      <c r="B191" t="s">
        <v>100</v>
      </c>
      <c r="C191" t="s">
        <v>99</v>
      </c>
      <c r="D191">
        <v>2.76</v>
      </c>
      <c r="E191">
        <v>-1.43</v>
      </c>
      <c r="F191">
        <v>1.34</v>
      </c>
      <c r="M191">
        <v>2.82</v>
      </c>
      <c r="N191">
        <v>2.8</v>
      </c>
      <c r="O191">
        <v>2.7</v>
      </c>
      <c r="P191">
        <v>2.81</v>
      </c>
      <c r="Q191">
        <v>67.03</v>
      </c>
      <c r="R191" t="s">
        <v>145</v>
      </c>
    </row>
    <row r="192" spans="1:18">
      <c r="A192" t="s">
        <v>204</v>
      </c>
      <c r="B192" t="s">
        <v>103</v>
      </c>
      <c r="C192" t="s">
        <v>102</v>
      </c>
      <c r="D192">
        <v>16.45</v>
      </c>
      <c r="E192">
        <v>1.61</v>
      </c>
      <c r="F192">
        <v>50.57</v>
      </c>
      <c r="M192">
        <v>15.9</v>
      </c>
      <c r="N192">
        <v>15.74</v>
      </c>
      <c r="O192">
        <v>15.24</v>
      </c>
      <c r="P192">
        <v>15.93</v>
      </c>
      <c r="Q192">
        <v>83.24</v>
      </c>
      <c r="R192" t="s">
        <v>146</v>
      </c>
    </row>
    <row r="193" spans="1:18">
      <c r="A193" t="s">
        <v>204</v>
      </c>
      <c r="B193" t="s">
        <v>140</v>
      </c>
      <c r="C193" t="s">
        <v>141</v>
      </c>
      <c r="D193">
        <v>9.75</v>
      </c>
      <c r="E193">
        <v>-3.94</v>
      </c>
      <c r="F193">
        <v>2.35</v>
      </c>
      <c r="M193">
        <v>10.2</v>
      </c>
      <c r="N193">
        <v>9.99</v>
      </c>
      <c r="O193">
        <v>9.77</v>
      </c>
      <c r="P193">
        <v>9.37</v>
      </c>
      <c r="Q193">
        <v>57.68</v>
      </c>
      <c r="R193" t="s">
        <v>134</v>
      </c>
    </row>
    <row r="194" spans="1:18">
      <c r="A194" t="s">
        <v>205</v>
      </c>
      <c r="B194" t="s">
        <v>69</v>
      </c>
      <c r="C194" t="s">
        <v>68</v>
      </c>
      <c r="D194">
        <v>35.57</v>
      </c>
      <c r="E194">
        <v>0.97</v>
      </c>
      <c r="F194">
        <v>9.72</v>
      </c>
      <c r="M194">
        <v>35.51</v>
      </c>
      <c r="N194">
        <v>35.51</v>
      </c>
      <c r="O194">
        <v>34.55</v>
      </c>
      <c r="P194">
        <v>36.84</v>
      </c>
      <c r="Q194">
        <v>72.27</v>
      </c>
      <c r="R194" t="s">
        <v>137</v>
      </c>
    </row>
    <row r="195" spans="1:18">
      <c r="A195" t="s">
        <v>205</v>
      </c>
      <c r="B195" t="s">
        <v>76</v>
      </c>
      <c r="C195" t="s">
        <v>75</v>
      </c>
      <c r="D195">
        <v>8.24</v>
      </c>
      <c r="E195">
        <v>1.1</v>
      </c>
      <c r="F195">
        <v>1.42</v>
      </c>
      <c r="M195">
        <v>8.28</v>
      </c>
      <c r="N195">
        <v>8.37</v>
      </c>
      <c r="O195">
        <v>8.32</v>
      </c>
      <c r="P195">
        <v>8.95</v>
      </c>
      <c r="Q195">
        <v>50.3</v>
      </c>
      <c r="R195" t="s">
        <v>143</v>
      </c>
    </row>
    <row r="196" spans="1:18">
      <c r="A196" t="s">
        <v>205</v>
      </c>
      <c r="B196" t="s">
        <v>133</v>
      </c>
      <c r="C196" t="s">
        <v>82</v>
      </c>
      <c r="D196">
        <v>9.03</v>
      </c>
      <c r="E196">
        <v>-0.77</v>
      </c>
      <c r="F196">
        <v>0.83</v>
      </c>
      <c r="M196">
        <v>9.16</v>
      </c>
      <c r="N196">
        <v>9.31</v>
      </c>
      <c r="O196">
        <v>9.61</v>
      </c>
      <c r="P196">
        <v>10.54</v>
      </c>
      <c r="Q196">
        <v>40.08</v>
      </c>
      <c r="R196" t="s">
        <v>137</v>
      </c>
    </row>
    <row r="197" spans="1:18">
      <c r="A197" t="s">
        <v>205</v>
      </c>
      <c r="B197" t="s">
        <v>88</v>
      </c>
      <c r="C197" t="s">
        <v>87</v>
      </c>
      <c r="D197">
        <v>8.88</v>
      </c>
      <c r="E197">
        <v>-5.13</v>
      </c>
      <c r="F197">
        <v>13.59</v>
      </c>
      <c r="M197">
        <v>9.3</v>
      </c>
      <c r="N197">
        <v>9.26</v>
      </c>
      <c r="O197">
        <v>8.96</v>
      </c>
      <c r="P197">
        <v>9.45</v>
      </c>
      <c r="Q197">
        <v>57.34</v>
      </c>
      <c r="R197" t="s">
        <v>206</v>
      </c>
    </row>
    <row r="198" spans="1:18">
      <c r="A198" t="s">
        <v>205</v>
      </c>
      <c r="B198" t="s">
        <v>136</v>
      </c>
      <c r="C198" t="s">
        <v>92</v>
      </c>
      <c r="D198">
        <v>6.28</v>
      </c>
      <c r="E198">
        <v>-0.79</v>
      </c>
      <c r="F198">
        <v>2.64</v>
      </c>
      <c r="M198">
        <v>6.43</v>
      </c>
      <c r="N198">
        <v>6.44</v>
      </c>
      <c r="O198">
        <v>6.45</v>
      </c>
      <c r="P198">
        <v>7.79</v>
      </c>
      <c r="Q198">
        <v>50.97</v>
      </c>
      <c r="R198" t="s">
        <v>172</v>
      </c>
    </row>
    <row r="199" spans="1:18">
      <c r="A199" t="s">
        <v>205</v>
      </c>
      <c r="B199" t="s">
        <v>100</v>
      </c>
      <c r="C199" t="s">
        <v>99</v>
      </c>
      <c r="D199">
        <v>2.82</v>
      </c>
      <c r="E199">
        <v>2.17</v>
      </c>
      <c r="F199">
        <v>2.03</v>
      </c>
      <c r="M199">
        <v>2.81</v>
      </c>
      <c r="N199">
        <v>2.81</v>
      </c>
      <c r="O199">
        <v>2.71</v>
      </c>
      <c r="P199">
        <v>2.81</v>
      </c>
      <c r="Q199">
        <v>68.09</v>
      </c>
      <c r="R199" t="s">
        <v>145</v>
      </c>
    </row>
    <row r="200" spans="1:18">
      <c r="A200" t="s">
        <v>205</v>
      </c>
      <c r="B200" t="s">
        <v>103</v>
      </c>
      <c r="C200" t="s">
        <v>102</v>
      </c>
      <c r="D200">
        <v>16.77</v>
      </c>
      <c r="E200">
        <v>1.95</v>
      </c>
      <c r="F200">
        <v>40.81</v>
      </c>
      <c r="M200">
        <v>16.09</v>
      </c>
      <c r="N200">
        <v>15.88</v>
      </c>
      <c r="O200">
        <v>15.32</v>
      </c>
      <c r="P200">
        <v>15.88</v>
      </c>
      <c r="Q200">
        <v>84.43</v>
      </c>
      <c r="R200" t="s">
        <v>146</v>
      </c>
    </row>
    <row r="201" spans="1:18">
      <c r="A201" t="s">
        <v>205</v>
      </c>
      <c r="B201" t="s">
        <v>140</v>
      </c>
      <c r="C201" t="s">
        <v>141</v>
      </c>
      <c r="D201">
        <v>9.53</v>
      </c>
      <c r="E201">
        <v>-2.26</v>
      </c>
      <c r="F201">
        <v>2.01</v>
      </c>
      <c r="M201">
        <v>10.06</v>
      </c>
      <c r="N201">
        <v>9.97</v>
      </c>
      <c r="O201">
        <v>9.75</v>
      </c>
      <c r="P201">
        <v>9.39</v>
      </c>
      <c r="Q201">
        <v>52.67</v>
      </c>
      <c r="R201" t="s">
        <v>137</v>
      </c>
    </row>
    <row r="202" spans="1:18">
      <c r="A202" t="s">
        <v>207</v>
      </c>
      <c r="B202" t="s">
        <v>69</v>
      </c>
      <c r="C202" t="s">
        <v>68</v>
      </c>
      <c r="D202">
        <v>35.31</v>
      </c>
      <c r="E202">
        <v>-0.73</v>
      </c>
      <c r="F202">
        <v>7.54</v>
      </c>
      <c r="M202">
        <v>35.55</v>
      </c>
      <c r="N202">
        <v>35.5</v>
      </c>
      <c r="O202">
        <v>34.6</v>
      </c>
      <c r="P202">
        <v>36.78</v>
      </c>
      <c r="Q202">
        <v>57.4</v>
      </c>
      <c r="R202" t="s">
        <v>137</v>
      </c>
    </row>
    <row r="203" spans="1:18">
      <c r="A203" t="s">
        <v>207</v>
      </c>
      <c r="B203" t="s">
        <v>76</v>
      </c>
      <c r="C203" t="s">
        <v>75</v>
      </c>
      <c r="D203">
        <v>7.94</v>
      </c>
      <c r="E203">
        <v>-3.64</v>
      </c>
      <c r="F203">
        <v>1.81</v>
      </c>
      <c r="M203">
        <v>8.19</v>
      </c>
      <c r="N203">
        <v>8.32</v>
      </c>
      <c r="O203">
        <v>8.3</v>
      </c>
      <c r="P203">
        <v>8.9</v>
      </c>
      <c r="Q203">
        <v>35.43</v>
      </c>
      <c r="R203" t="s">
        <v>208</v>
      </c>
    </row>
    <row r="204" spans="1:18">
      <c r="A204" t="s">
        <v>207</v>
      </c>
      <c r="B204" t="s">
        <v>133</v>
      </c>
      <c r="C204" t="s">
        <v>82</v>
      </c>
      <c r="D204">
        <v>9</v>
      </c>
      <c r="E204">
        <v>-0.33</v>
      </c>
      <c r="F204">
        <v>0.82</v>
      </c>
      <c r="M204">
        <v>9.12</v>
      </c>
      <c r="N204">
        <v>9.25</v>
      </c>
      <c r="O204">
        <v>9.56</v>
      </c>
      <c r="P204">
        <v>10.49</v>
      </c>
      <c r="Q204">
        <v>24.88</v>
      </c>
      <c r="R204" t="s">
        <v>137</v>
      </c>
    </row>
    <row r="205" spans="1:18">
      <c r="A205" t="s">
        <v>207</v>
      </c>
      <c r="B205" t="s">
        <v>88</v>
      </c>
      <c r="C205" t="s">
        <v>87</v>
      </c>
      <c r="D205">
        <v>8.64</v>
      </c>
      <c r="E205">
        <v>-2.7</v>
      </c>
      <c r="F205">
        <v>8.52</v>
      </c>
      <c r="M205">
        <v>9.14</v>
      </c>
      <c r="N205">
        <v>9.25</v>
      </c>
      <c r="O205">
        <v>8.96</v>
      </c>
      <c r="P205">
        <v>9.41</v>
      </c>
      <c r="Q205">
        <v>46.32</v>
      </c>
      <c r="R205" t="s">
        <v>209</v>
      </c>
    </row>
    <row r="206" spans="1:18">
      <c r="A206" t="s">
        <v>207</v>
      </c>
      <c r="B206" t="s">
        <v>136</v>
      </c>
      <c r="C206" t="s">
        <v>92</v>
      </c>
      <c r="D206">
        <v>6.04</v>
      </c>
      <c r="E206">
        <v>-3.82</v>
      </c>
      <c r="F206">
        <v>4.16</v>
      </c>
      <c r="M206">
        <v>6.33</v>
      </c>
      <c r="N206">
        <v>6.4</v>
      </c>
      <c r="O206">
        <v>6.41</v>
      </c>
      <c r="P206">
        <v>7.76</v>
      </c>
      <c r="Q206">
        <v>32.89</v>
      </c>
      <c r="R206" t="s">
        <v>210</v>
      </c>
    </row>
    <row r="207" spans="1:18">
      <c r="A207" t="s">
        <v>207</v>
      </c>
      <c r="B207" t="s">
        <v>100</v>
      </c>
      <c r="C207" t="s">
        <v>99</v>
      </c>
      <c r="D207">
        <v>2.74</v>
      </c>
      <c r="E207">
        <v>-2.84</v>
      </c>
      <c r="F207">
        <v>1.29</v>
      </c>
      <c r="M207">
        <v>2.79</v>
      </c>
      <c r="N207">
        <v>2.81</v>
      </c>
      <c r="O207">
        <v>2.72</v>
      </c>
      <c r="P207">
        <v>2.8</v>
      </c>
      <c r="Q207">
        <v>50.65</v>
      </c>
      <c r="R207" t="s">
        <v>145</v>
      </c>
    </row>
    <row r="208" spans="1:18">
      <c r="A208" t="s">
        <v>207</v>
      </c>
      <c r="B208" t="s">
        <v>103</v>
      </c>
      <c r="C208" t="s">
        <v>102</v>
      </c>
      <c r="D208">
        <v>17.83</v>
      </c>
      <c r="E208">
        <v>6.32</v>
      </c>
      <c r="F208">
        <v>76.48</v>
      </c>
      <c r="M208">
        <v>16.57</v>
      </c>
      <c r="N208">
        <v>16.11</v>
      </c>
      <c r="O208">
        <v>15.47</v>
      </c>
      <c r="P208">
        <v>15.88</v>
      </c>
      <c r="Q208">
        <v>85.71</v>
      </c>
      <c r="R208" t="s">
        <v>211</v>
      </c>
    </row>
    <row r="209" spans="1:18">
      <c r="A209" t="s">
        <v>207</v>
      </c>
      <c r="B209" t="s">
        <v>140</v>
      </c>
      <c r="C209" t="s">
        <v>141</v>
      </c>
      <c r="D209">
        <v>10.16</v>
      </c>
      <c r="E209">
        <v>6.61</v>
      </c>
      <c r="F209">
        <v>3.35</v>
      </c>
      <c r="M209">
        <v>10</v>
      </c>
      <c r="N209">
        <v>10</v>
      </c>
      <c r="O209">
        <v>9.79</v>
      </c>
      <c r="P209">
        <v>9.43</v>
      </c>
      <c r="Q209">
        <v>60.51</v>
      </c>
      <c r="R209" t="s">
        <v>212</v>
      </c>
    </row>
    <row r="210" spans="1:18">
      <c r="A210" t="s">
        <v>213</v>
      </c>
      <c r="B210" t="s">
        <v>69</v>
      </c>
      <c r="C210" t="s">
        <v>68</v>
      </c>
      <c r="D210">
        <v>35.17</v>
      </c>
      <c r="E210">
        <v>-0.4</v>
      </c>
      <c r="F210">
        <v>6.8</v>
      </c>
      <c r="M210">
        <v>35.36</v>
      </c>
      <c r="N210">
        <v>35.44</v>
      </c>
      <c r="O210">
        <v>34.71</v>
      </c>
      <c r="P210">
        <v>36.72</v>
      </c>
      <c r="Q210">
        <v>62.28</v>
      </c>
      <c r="R210" t="s">
        <v>137</v>
      </c>
    </row>
    <row r="211" spans="1:18">
      <c r="A211" t="s">
        <v>213</v>
      </c>
      <c r="B211" t="s">
        <v>76</v>
      </c>
      <c r="C211" t="s">
        <v>75</v>
      </c>
      <c r="D211">
        <v>8.47</v>
      </c>
      <c r="E211">
        <v>6.68</v>
      </c>
      <c r="F211">
        <v>4.02</v>
      </c>
      <c r="M211">
        <v>8.18</v>
      </c>
      <c r="N211">
        <v>8.34</v>
      </c>
      <c r="O211">
        <v>8.32</v>
      </c>
      <c r="P211">
        <v>8.88</v>
      </c>
      <c r="Q211">
        <v>52.04</v>
      </c>
      <c r="R211" t="s">
        <v>214</v>
      </c>
    </row>
    <row r="212" spans="1:18">
      <c r="A212" t="s">
        <v>213</v>
      </c>
      <c r="B212" t="s">
        <v>133</v>
      </c>
      <c r="C212" t="s">
        <v>82</v>
      </c>
      <c r="D212">
        <v>9.04</v>
      </c>
      <c r="E212">
        <v>0.44</v>
      </c>
      <c r="F212">
        <v>0.84</v>
      </c>
      <c r="M212">
        <v>9.07</v>
      </c>
      <c r="N212">
        <v>9.21</v>
      </c>
      <c r="O212">
        <v>9.51</v>
      </c>
      <c r="P212">
        <v>10.44</v>
      </c>
      <c r="Q212">
        <v>31.58</v>
      </c>
      <c r="R212" t="s">
        <v>137</v>
      </c>
    </row>
    <row r="213" spans="1:18">
      <c r="A213" t="s">
        <v>213</v>
      </c>
      <c r="B213" t="s">
        <v>88</v>
      </c>
      <c r="C213" t="s">
        <v>87</v>
      </c>
      <c r="D213">
        <v>8.67</v>
      </c>
      <c r="E213">
        <v>0.35</v>
      </c>
      <c r="F213">
        <v>4.59</v>
      </c>
      <c r="M213">
        <v>8.97</v>
      </c>
      <c r="N213">
        <v>9.18</v>
      </c>
      <c r="O213">
        <v>8.96</v>
      </c>
      <c r="P213">
        <v>9.38</v>
      </c>
      <c r="Q213">
        <v>50.19</v>
      </c>
      <c r="R213" t="s">
        <v>149</v>
      </c>
    </row>
    <row r="214" spans="1:18">
      <c r="A214" t="s">
        <v>213</v>
      </c>
      <c r="B214" t="s">
        <v>136</v>
      </c>
      <c r="C214" t="s">
        <v>92</v>
      </c>
      <c r="D214">
        <v>6.14</v>
      </c>
      <c r="E214">
        <v>1.66</v>
      </c>
      <c r="F214">
        <v>3.25</v>
      </c>
      <c r="M214">
        <v>6.24</v>
      </c>
      <c r="N214">
        <v>6.39</v>
      </c>
      <c r="O214">
        <v>6.39</v>
      </c>
      <c r="P214">
        <v>7.72</v>
      </c>
      <c r="Q214">
        <v>39.6</v>
      </c>
      <c r="R214" t="s">
        <v>172</v>
      </c>
    </row>
    <row r="215" spans="1:18">
      <c r="A215" t="s">
        <v>213</v>
      </c>
      <c r="B215" t="s">
        <v>100</v>
      </c>
      <c r="C215" t="s">
        <v>99</v>
      </c>
      <c r="D215">
        <v>2.79</v>
      </c>
      <c r="E215">
        <v>1.82</v>
      </c>
      <c r="F215">
        <v>1.47</v>
      </c>
      <c r="M215">
        <v>2.78</v>
      </c>
      <c r="N215">
        <v>2.82</v>
      </c>
      <c r="O215">
        <v>2.73</v>
      </c>
      <c r="P215">
        <v>2.8</v>
      </c>
      <c r="Q215">
        <v>53.09</v>
      </c>
      <c r="R215" t="s">
        <v>145</v>
      </c>
    </row>
    <row r="216" spans="1:18">
      <c r="A216" t="s">
        <v>213</v>
      </c>
      <c r="B216" t="s">
        <v>103</v>
      </c>
      <c r="C216" t="s">
        <v>102</v>
      </c>
      <c r="D216">
        <v>18.02</v>
      </c>
      <c r="E216">
        <v>1.07</v>
      </c>
      <c r="F216">
        <v>62.32</v>
      </c>
      <c r="M216">
        <v>17.05</v>
      </c>
      <c r="N216">
        <v>16.35</v>
      </c>
      <c r="O216">
        <v>15.64</v>
      </c>
      <c r="P216">
        <v>15.89</v>
      </c>
      <c r="Q216">
        <v>88.05</v>
      </c>
      <c r="R216" t="s">
        <v>146</v>
      </c>
    </row>
    <row r="217" spans="1:18">
      <c r="A217" t="s">
        <v>213</v>
      </c>
      <c r="B217" t="s">
        <v>140</v>
      </c>
      <c r="C217" t="s">
        <v>141</v>
      </c>
      <c r="D217">
        <v>10.01</v>
      </c>
      <c r="E217">
        <v>-1.48</v>
      </c>
      <c r="F217">
        <v>2.22</v>
      </c>
      <c r="M217">
        <v>9.92</v>
      </c>
      <c r="N217">
        <v>10.04</v>
      </c>
      <c r="O217">
        <v>9.82</v>
      </c>
      <c r="P217">
        <v>9.46</v>
      </c>
      <c r="Q217">
        <v>55.02</v>
      </c>
      <c r="R217" t="s">
        <v>137</v>
      </c>
    </row>
    <row r="218" spans="1:18">
      <c r="A218" t="s">
        <v>215</v>
      </c>
      <c r="B218" t="s">
        <v>69</v>
      </c>
      <c r="C218" t="s">
        <v>68</v>
      </c>
      <c r="D218">
        <v>33.95</v>
      </c>
      <c r="E218">
        <v>-3.47</v>
      </c>
      <c r="F218">
        <v>18.93</v>
      </c>
      <c r="M218">
        <v>35.05</v>
      </c>
      <c r="N218">
        <v>35.27</v>
      </c>
      <c r="O218">
        <v>34.7</v>
      </c>
      <c r="P218">
        <v>36.64</v>
      </c>
      <c r="Q218">
        <v>47.52</v>
      </c>
      <c r="R218" t="s">
        <v>216</v>
      </c>
    </row>
    <row r="219" spans="1:18">
      <c r="A219" t="s">
        <v>215</v>
      </c>
      <c r="B219" t="s">
        <v>76</v>
      </c>
      <c r="C219" t="s">
        <v>75</v>
      </c>
      <c r="D219">
        <v>8.4</v>
      </c>
      <c r="E219">
        <v>-0.83</v>
      </c>
      <c r="F219">
        <v>2.78</v>
      </c>
      <c r="M219">
        <v>8.24</v>
      </c>
      <c r="N219">
        <v>8.33</v>
      </c>
      <c r="O219">
        <v>8.32</v>
      </c>
      <c r="P219">
        <v>8.85</v>
      </c>
      <c r="Q219">
        <v>51.11</v>
      </c>
      <c r="R219" t="s">
        <v>143</v>
      </c>
    </row>
    <row r="220" spans="1:18">
      <c r="A220" t="s">
        <v>215</v>
      </c>
      <c r="B220" t="s">
        <v>133</v>
      </c>
      <c r="C220" t="s">
        <v>82</v>
      </c>
      <c r="D220">
        <v>8.98</v>
      </c>
      <c r="E220">
        <v>-0.66</v>
      </c>
      <c r="F220">
        <v>0.95</v>
      </c>
      <c r="M220">
        <v>9.03</v>
      </c>
      <c r="N220">
        <v>9.17</v>
      </c>
      <c r="O220">
        <v>9.45</v>
      </c>
      <c r="P220">
        <v>10.4</v>
      </c>
      <c r="Q220">
        <v>20.13</v>
      </c>
      <c r="R220" t="s">
        <v>137</v>
      </c>
    </row>
    <row r="221" spans="1:18">
      <c r="A221" t="s">
        <v>215</v>
      </c>
      <c r="B221" t="s">
        <v>88</v>
      </c>
      <c r="C221" t="s">
        <v>87</v>
      </c>
      <c r="D221">
        <v>8.74</v>
      </c>
      <c r="E221">
        <v>0.81</v>
      </c>
      <c r="F221">
        <v>6.51</v>
      </c>
      <c r="M221">
        <v>8.86</v>
      </c>
      <c r="N221">
        <v>9.14</v>
      </c>
      <c r="O221">
        <v>8.96</v>
      </c>
      <c r="P221">
        <v>9.36</v>
      </c>
      <c r="Q221">
        <v>49.8</v>
      </c>
      <c r="R221" t="s">
        <v>155</v>
      </c>
    </row>
    <row r="222" spans="1:18">
      <c r="A222" t="s">
        <v>215</v>
      </c>
      <c r="B222" t="s">
        <v>136</v>
      </c>
      <c r="C222" t="s">
        <v>92</v>
      </c>
      <c r="D222">
        <v>6.08</v>
      </c>
      <c r="E222">
        <v>-0.98</v>
      </c>
      <c r="F222">
        <v>2.86</v>
      </c>
      <c r="M222">
        <v>6.17</v>
      </c>
      <c r="N222">
        <v>6.35</v>
      </c>
      <c r="O222">
        <v>6.36</v>
      </c>
      <c r="P222">
        <v>7.69</v>
      </c>
      <c r="Q222">
        <v>40.14</v>
      </c>
      <c r="R222" t="s">
        <v>172</v>
      </c>
    </row>
    <row r="223" spans="1:18">
      <c r="A223" t="s">
        <v>215</v>
      </c>
      <c r="B223" t="s">
        <v>100</v>
      </c>
      <c r="C223" t="s">
        <v>99</v>
      </c>
      <c r="D223">
        <v>2.9</v>
      </c>
      <c r="E223">
        <v>3.94</v>
      </c>
      <c r="F223">
        <v>3.35</v>
      </c>
      <c r="M223">
        <v>2.8</v>
      </c>
      <c r="N223">
        <v>2.82</v>
      </c>
      <c r="O223">
        <v>2.74</v>
      </c>
      <c r="P223">
        <v>2.8</v>
      </c>
      <c r="Q223">
        <v>62.07</v>
      </c>
      <c r="R223" t="s">
        <v>145</v>
      </c>
    </row>
    <row r="224" spans="1:18">
      <c r="A224" t="s">
        <v>215</v>
      </c>
      <c r="B224" t="s">
        <v>103</v>
      </c>
      <c r="C224" t="s">
        <v>102</v>
      </c>
      <c r="D224">
        <v>19.82</v>
      </c>
      <c r="E224">
        <v>9.99</v>
      </c>
      <c r="F224">
        <v>83.21</v>
      </c>
      <c r="M224">
        <v>17.78</v>
      </c>
      <c r="N224">
        <v>16.77</v>
      </c>
      <c r="O224">
        <v>15.88</v>
      </c>
      <c r="P224">
        <v>15.94</v>
      </c>
      <c r="Q224">
        <v>91.46</v>
      </c>
      <c r="R224" t="s">
        <v>217</v>
      </c>
    </row>
    <row r="225" spans="1:18">
      <c r="A225" t="s">
        <v>215</v>
      </c>
      <c r="B225" t="s">
        <v>140</v>
      </c>
      <c r="C225" t="s">
        <v>141</v>
      </c>
      <c r="D225">
        <v>10.09</v>
      </c>
      <c r="E225">
        <v>0.8</v>
      </c>
      <c r="F225">
        <v>2.36</v>
      </c>
      <c r="M225">
        <v>9.91</v>
      </c>
      <c r="N225">
        <v>10.07</v>
      </c>
      <c r="O225">
        <v>9.84</v>
      </c>
      <c r="P225">
        <v>9.49</v>
      </c>
      <c r="Q225">
        <v>59.53</v>
      </c>
      <c r="R225" t="s">
        <v>137</v>
      </c>
    </row>
    <row r="226" spans="1:18">
      <c r="A226" t="s">
        <v>218</v>
      </c>
      <c r="B226" t="s">
        <v>69</v>
      </c>
      <c r="C226" t="s">
        <v>68</v>
      </c>
      <c r="D226">
        <v>34.61</v>
      </c>
      <c r="E226">
        <v>1.94</v>
      </c>
      <c r="F226">
        <v>12.94</v>
      </c>
      <c r="M226">
        <v>34.92</v>
      </c>
      <c r="N226">
        <v>35.18</v>
      </c>
      <c r="O226">
        <v>34.8</v>
      </c>
      <c r="P226">
        <v>36.57</v>
      </c>
      <c r="Q226">
        <v>50.31</v>
      </c>
      <c r="R226" t="s">
        <v>137</v>
      </c>
    </row>
    <row r="227" spans="1:18">
      <c r="A227" t="s">
        <v>218</v>
      </c>
      <c r="B227" t="s">
        <v>76</v>
      </c>
      <c r="C227" t="s">
        <v>75</v>
      </c>
      <c r="D227">
        <v>8.56</v>
      </c>
      <c r="E227">
        <v>1.9</v>
      </c>
      <c r="F227">
        <v>2.93</v>
      </c>
      <c r="M227">
        <v>8.32</v>
      </c>
      <c r="N227">
        <v>8.34</v>
      </c>
      <c r="O227">
        <v>8.34</v>
      </c>
      <c r="P227">
        <v>8.83</v>
      </c>
      <c r="Q227">
        <v>55.04</v>
      </c>
      <c r="R227" t="s">
        <v>219</v>
      </c>
    </row>
    <row r="228" spans="1:18">
      <c r="A228" t="s">
        <v>218</v>
      </c>
      <c r="B228" t="s">
        <v>133</v>
      </c>
      <c r="C228" t="s">
        <v>82</v>
      </c>
      <c r="D228">
        <v>9.15</v>
      </c>
      <c r="E228">
        <v>1.89</v>
      </c>
      <c r="F228">
        <v>1.47</v>
      </c>
      <c r="M228">
        <v>9.04</v>
      </c>
      <c r="N228">
        <v>9.13</v>
      </c>
      <c r="O228">
        <v>9.41</v>
      </c>
      <c r="P228">
        <v>10.35</v>
      </c>
      <c r="Q228">
        <v>25.45</v>
      </c>
      <c r="R228" t="s">
        <v>137</v>
      </c>
    </row>
    <row r="229" spans="1:18">
      <c r="A229" t="s">
        <v>218</v>
      </c>
      <c r="B229" t="s">
        <v>88</v>
      </c>
      <c r="C229" t="s">
        <v>87</v>
      </c>
      <c r="D229">
        <v>8.89</v>
      </c>
      <c r="E229">
        <v>1.72</v>
      </c>
      <c r="F229">
        <v>7.96</v>
      </c>
      <c r="M229">
        <v>8.76</v>
      </c>
      <c r="N229">
        <v>9.1</v>
      </c>
      <c r="O229">
        <v>8.97</v>
      </c>
      <c r="P229">
        <v>9.34</v>
      </c>
      <c r="Q229">
        <v>53.38</v>
      </c>
      <c r="R229" t="s">
        <v>137</v>
      </c>
    </row>
    <row r="230" spans="1:18">
      <c r="A230" t="s">
        <v>218</v>
      </c>
      <c r="B230" t="s">
        <v>136</v>
      </c>
      <c r="C230" t="s">
        <v>92</v>
      </c>
      <c r="D230">
        <v>6.19</v>
      </c>
      <c r="E230">
        <v>1.81</v>
      </c>
      <c r="F230">
        <v>3.94</v>
      </c>
      <c r="M230">
        <v>6.15</v>
      </c>
      <c r="N230">
        <v>6.32</v>
      </c>
      <c r="O230">
        <v>6.36</v>
      </c>
      <c r="P230">
        <v>7.64</v>
      </c>
      <c r="Q230">
        <v>38.46</v>
      </c>
      <c r="R230" t="s">
        <v>172</v>
      </c>
    </row>
    <row r="231" spans="1:18">
      <c r="A231" t="s">
        <v>218</v>
      </c>
      <c r="B231" t="s">
        <v>100</v>
      </c>
      <c r="C231" t="s">
        <v>99</v>
      </c>
      <c r="D231">
        <v>2.97</v>
      </c>
      <c r="E231">
        <v>2.41</v>
      </c>
      <c r="F231">
        <v>2.99</v>
      </c>
      <c r="M231">
        <v>2.84</v>
      </c>
      <c r="N231">
        <v>2.83</v>
      </c>
      <c r="O231">
        <v>2.76</v>
      </c>
      <c r="P231">
        <v>2.8</v>
      </c>
      <c r="Q231">
        <v>63.74</v>
      </c>
      <c r="R231" t="s">
        <v>145</v>
      </c>
    </row>
    <row r="232" spans="1:18">
      <c r="A232" t="s">
        <v>218</v>
      </c>
      <c r="B232" t="s">
        <v>103</v>
      </c>
      <c r="C232" t="s">
        <v>102</v>
      </c>
      <c r="D232">
        <v>21.8</v>
      </c>
      <c r="E232">
        <v>9.99</v>
      </c>
      <c r="F232">
        <v>8.47</v>
      </c>
      <c r="M232">
        <v>18.85</v>
      </c>
      <c r="N232">
        <v>17.38</v>
      </c>
      <c r="O232">
        <v>16.25</v>
      </c>
      <c r="P232">
        <v>16.02</v>
      </c>
      <c r="Q232">
        <v>93.37</v>
      </c>
      <c r="R232" t="s">
        <v>220</v>
      </c>
    </row>
    <row r="233" spans="1:18">
      <c r="A233" t="s">
        <v>218</v>
      </c>
      <c r="B233" t="s">
        <v>140</v>
      </c>
      <c r="C233" t="s">
        <v>141</v>
      </c>
      <c r="D233">
        <v>10.47</v>
      </c>
      <c r="E233">
        <v>3.77</v>
      </c>
      <c r="F233">
        <v>3.41</v>
      </c>
      <c r="M233">
        <v>10.05</v>
      </c>
      <c r="N233">
        <v>10.12</v>
      </c>
      <c r="O233">
        <v>9.88</v>
      </c>
      <c r="P233">
        <v>9.53</v>
      </c>
      <c r="Q233">
        <v>60.97</v>
      </c>
      <c r="R233" t="s">
        <v>137</v>
      </c>
    </row>
    <row r="234" spans="1:18">
      <c r="A234" t="s">
        <v>221</v>
      </c>
      <c r="B234" t="s">
        <v>69</v>
      </c>
      <c r="C234" t="s">
        <v>68</v>
      </c>
      <c r="D234">
        <v>36.64</v>
      </c>
      <c r="E234">
        <v>5.87</v>
      </c>
      <c r="F234">
        <v>15.79</v>
      </c>
      <c r="M234">
        <v>35.14</v>
      </c>
      <c r="N234">
        <v>35.32</v>
      </c>
      <c r="O234">
        <v>35.01</v>
      </c>
      <c r="P234">
        <v>36.54</v>
      </c>
      <c r="Q234">
        <v>57.9</v>
      </c>
      <c r="R234" t="s">
        <v>222</v>
      </c>
    </row>
    <row r="235" spans="1:18">
      <c r="A235" t="s">
        <v>221</v>
      </c>
      <c r="B235" t="s">
        <v>76</v>
      </c>
      <c r="C235" t="s">
        <v>75</v>
      </c>
      <c r="D235">
        <v>8.69</v>
      </c>
      <c r="E235">
        <v>1.52</v>
      </c>
      <c r="F235">
        <v>2.15</v>
      </c>
      <c r="M235">
        <v>8.41</v>
      </c>
      <c r="N235">
        <v>8.35</v>
      </c>
      <c r="O235">
        <v>8.37</v>
      </c>
      <c r="P235">
        <v>8.81</v>
      </c>
      <c r="Q235">
        <v>55.6</v>
      </c>
      <c r="R235" t="s">
        <v>223</v>
      </c>
    </row>
    <row r="236" spans="1:18">
      <c r="A236" t="s">
        <v>221</v>
      </c>
      <c r="B236" t="s">
        <v>133</v>
      </c>
      <c r="C236" t="s">
        <v>82</v>
      </c>
      <c r="D236">
        <v>9.02</v>
      </c>
      <c r="E236">
        <v>-1.42</v>
      </c>
      <c r="F236">
        <v>1.24</v>
      </c>
      <c r="M236">
        <v>9.04</v>
      </c>
      <c r="N236">
        <v>9.1</v>
      </c>
      <c r="O236">
        <v>9.37</v>
      </c>
      <c r="P236">
        <v>10.3</v>
      </c>
      <c r="Q236">
        <v>30.66</v>
      </c>
      <c r="R236" t="s">
        <v>137</v>
      </c>
    </row>
    <row r="237" spans="1:18">
      <c r="A237" t="s">
        <v>221</v>
      </c>
      <c r="B237" t="s">
        <v>88</v>
      </c>
      <c r="C237" t="s">
        <v>87</v>
      </c>
      <c r="D237">
        <v>8.84</v>
      </c>
      <c r="E237">
        <v>-0.56</v>
      </c>
      <c r="F237">
        <v>8.21</v>
      </c>
      <c r="M237">
        <v>8.76</v>
      </c>
      <c r="N237">
        <v>9.03</v>
      </c>
      <c r="O237">
        <v>8.99</v>
      </c>
      <c r="P237">
        <v>9.31</v>
      </c>
      <c r="Q237">
        <v>50.95</v>
      </c>
      <c r="R237" t="s">
        <v>137</v>
      </c>
    </row>
    <row r="238" spans="1:18">
      <c r="A238" t="s">
        <v>221</v>
      </c>
      <c r="B238" t="s">
        <v>136</v>
      </c>
      <c r="C238" t="s">
        <v>92</v>
      </c>
      <c r="D238">
        <v>6.3</v>
      </c>
      <c r="E238">
        <v>1.78</v>
      </c>
      <c r="F238">
        <v>4.12</v>
      </c>
      <c r="M238">
        <v>6.15</v>
      </c>
      <c r="N238">
        <v>6.29</v>
      </c>
      <c r="O238">
        <v>6.36</v>
      </c>
      <c r="P238">
        <v>7.6</v>
      </c>
      <c r="Q238">
        <v>46.48</v>
      </c>
      <c r="R238" t="s">
        <v>172</v>
      </c>
    </row>
    <row r="239" spans="1:18">
      <c r="A239" t="s">
        <v>221</v>
      </c>
      <c r="B239" t="s">
        <v>100</v>
      </c>
      <c r="C239" t="s">
        <v>99</v>
      </c>
      <c r="D239">
        <v>3.03</v>
      </c>
      <c r="E239">
        <v>2.02</v>
      </c>
      <c r="F239">
        <v>2.74</v>
      </c>
      <c r="M239">
        <v>2.89</v>
      </c>
      <c r="N239">
        <v>2.85</v>
      </c>
      <c r="O239">
        <v>2.79</v>
      </c>
      <c r="P239">
        <v>2.8</v>
      </c>
      <c r="Q239">
        <v>66.67</v>
      </c>
      <c r="R239" t="s">
        <v>145</v>
      </c>
    </row>
    <row r="240" spans="1:18">
      <c r="A240" t="s">
        <v>221</v>
      </c>
      <c r="B240" t="s">
        <v>103</v>
      </c>
      <c r="C240" t="s">
        <v>102</v>
      </c>
      <c r="D240">
        <v>23.98</v>
      </c>
      <c r="E240">
        <v>10</v>
      </c>
      <c r="F240">
        <v>119.97</v>
      </c>
      <c r="M240">
        <v>20.29</v>
      </c>
      <c r="N240">
        <v>18.19</v>
      </c>
      <c r="O240">
        <v>16.74</v>
      </c>
      <c r="P240">
        <v>16.15</v>
      </c>
      <c r="Q240">
        <v>94.78</v>
      </c>
      <c r="R240" t="s">
        <v>220</v>
      </c>
    </row>
    <row r="241" spans="1:18">
      <c r="A241" t="s">
        <v>221</v>
      </c>
      <c r="B241" t="s">
        <v>140</v>
      </c>
      <c r="C241" t="s">
        <v>141</v>
      </c>
      <c r="D241">
        <v>10.64</v>
      </c>
      <c r="E241">
        <v>1.62</v>
      </c>
      <c r="F241">
        <v>2.83</v>
      </c>
      <c r="M241">
        <v>10.27</v>
      </c>
      <c r="N241">
        <v>10.17</v>
      </c>
      <c r="O241">
        <v>9.95</v>
      </c>
      <c r="P241">
        <v>9.57</v>
      </c>
      <c r="Q241">
        <v>62.88</v>
      </c>
      <c r="R241" t="s">
        <v>137</v>
      </c>
    </row>
    <row r="242" spans="1:18">
      <c r="A242" t="s">
        <v>224</v>
      </c>
      <c r="B242" t="s">
        <v>69</v>
      </c>
      <c r="C242" t="s">
        <v>68</v>
      </c>
      <c r="D242">
        <v>37.09</v>
      </c>
      <c r="E242">
        <v>1.23</v>
      </c>
      <c r="F242">
        <v>13.15</v>
      </c>
      <c r="M242">
        <v>35.49</v>
      </c>
      <c r="N242">
        <v>35.52</v>
      </c>
      <c r="O242">
        <v>35.26</v>
      </c>
      <c r="P242">
        <v>36.51</v>
      </c>
      <c r="Q242">
        <v>58.94</v>
      </c>
      <c r="R242" t="s">
        <v>137</v>
      </c>
    </row>
    <row r="243" spans="1:18">
      <c r="A243" t="s">
        <v>224</v>
      </c>
      <c r="B243" t="s">
        <v>76</v>
      </c>
      <c r="C243" t="s">
        <v>75</v>
      </c>
      <c r="D243">
        <v>8.84</v>
      </c>
      <c r="E243">
        <v>1.73</v>
      </c>
      <c r="F243">
        <v>2.3</v>
      </c>
      <c r="M243">
        <v>8.59</v>
      </c>
      <c r="N243">
        <v>8.39</v>
      </c>
      <c r="O243">
        <v>8.4</v>
      </c>
      <c r="P243">
        <v>8.8</v>
      </c>
      <c r="Q243">
        <v>61.57</v>
      </c>
      <c r="R243" t="s">
        <v>137</v>
      </c>
    </row>
    <row r="244" spans="1:18">
      <c r="A244" t="s">
        <v>224</v>
      </c>
      <c r="B244" t="s">
        <v>133</v>
      </c>
      <c r="C244" t="s">
        <v>82</v>
      </c>
      <c r="D244">
        <v>9.14</v>
      </c>
      <c r="E244">
        <v>1.33</v>
      </c>
      <c r="F244">
        <v>1.25</v>
      </c>
      <c r="M244">
        <v>9.07</v>
      </c>
      <c r="N244">
        <v>9.09</v>
      </c>
      <c r="O244">
        <v>9.35</v>
      </c>
      <c r="P244">
        <v>10.26</v>
      </c>
      <c r="Q244">
        <v>39.13</v>
      </c>
      <c r="R244" t="s">
        <v>137</v>
      </c>
    </row>
    <row r="245" spans="1:18">
      <c r="A245" t="s">
        <v>224</v>
      </c>
      <c r="B245" t="s">
        <v>88</v>
      </c>
      <c r="C245" t="s">
        <v>87</v>
      </c>
      <c r="D245">
        <v>8.78</v>
      </c>
      <c r="E245">
        <v>-0.68</v>
      </c>
      <c r="F245">
        <v>6.31</v>
      </c>
      <c r="M245">
        <v>8.78</v>
      </c>
      <c r="N245">
        <v>8.96</v>
      </c>
      <c r="O245">
        <v>9.01</v>
      </c>
      <c r="P245">
        <v>9.3</v>
      </c>
      <c r="Q245">
        <v>36.62</v>
      </c>
      <c r="R245" t="s">
        <v>137</v>
      </c>
    </row>
    <row r="246" spans="1:18">
      <c r="A246" t="s">
        <v>224</v>
      </c>
      <c r="B246" t="s">
        <v>136</v>
      </c>
      <c r="C246" t="s">
        <v>92</v>
      </c>
      <c r="D246">
        <v>6.4</v>
      </c>
      <c r="E246">
        <v>1.59</v>
      </c>
      <c r="F246">
        <v>5.11</v>
      </c>
      <c r="M246">
        <v>6.22</v>
      </c>
      <c r="N246">
        <v>6.28</v>
      </c>
      <c r="O246">
        <v>6.37</v>
      </c>
      <c r="P246">
        <v>7.55</v>
      </c>
      <c r="Q246">
        <v>54.29</v>
      </c>
      <c r="R246" t="s">
        <v>172</v>
      </c>
    </row>
    <row r="247" spans="1:18">
      <c r="A247" t="s">
        <v>224</v>
      </c>
      <c r="B247" t="s">
        <v>100</v>
      </c>
      <c r="C247" t="s">
        <v>99</v>
      </c>
      <c r="D247">
        <v>3.02</v>
      </c>
      <c r="E247">
        <v>-0.33</v>
      </c>
      <c r="F247">
        <v>2.26</v>
      </c>
      <c r="M247">
        <v>2.94</v>
      </c>
      <c r="N247">
        <v>2.86</v>
      </c>
      <c r="O247">
        <v>2.82</v>
      </c>
      <c r="P247">
        <v>2.8</v>
      </c>
      <c r="Q247">
        <v>71.11</v>
      </c>
      <c r="R247" t="s">
        <v>145</v>
      </c>
    </row>
    <row r="248" spans="1:18">
      <c r="A248" t="s">
        <v>224</v>
      </c>
      <c r="B248" t="s">
        <v>103</v>
      </c>
      <c r="C248" t="s">
        <v>102</v>
      </c>
      <c r="D248">
        <v>23.09</v>
      </c>
      <c r="E248">
        <v>-3.71</v>
      </c>
      <c r="F248">
        <v>154.4</v>
      </c>
      <c r="M248">
        <v>21.34</v>
      </c>
      <c r="N248">
        <v>18.96</v>
      </c>
      <c r="O248">
        <v>17.18</v>
      </c>
      <c r="P248">
        <v>16.27</v>
      </c>
      <c r="Q248">
        <v>86.47</v>
      </c>
      <c r="R248" t="s">
        <v>225</v>
      </c>
    </row>
    <row r="249" spans="1:18">
      <c r="A249" t="s">
        <v>224</v>
      </c>
      <c r="B249" t="s">
        <v>140</v>
      </c>
      <c r="C249" t="s">
        <v>141</v>
      </c>
      <c r="D249">
        <v>10.57</v>
      </c>
      <c r="E249">
        <v>-0.66</v>
      </c>
      <c r="F249">
        <v>4.4</v>
      </c>
      <c r="M249">
        <v>10.36</v>
      </c>
      <c r="N249">
        <v>10.18</v>
      </c>
      <c r="O249">
        <v>10.01</v>
      </c>
      <c r="P249">
        <v>9.6</v>
      </c>
      <c r="Q249">
        <v>63.86</v>
      </c>
      <c r="R249" t="s">
        <v>137</v>
      </c>
    </row>
    <row r="250" spans="1:18">
      <c r="A250" t="s">
        <v>226</v>
      </c>
      <c r="B250" t="s">
        <v>69</v>
      </c>
      <c r="C250" t="s">
        <v>68</v>
      </c>
      <c r="D250">
        <v>37.31</v>
      </c>
      <c r="E250">
        <v>0.59</v>
      </c>
      <c r="F250">
        <v>12.67</v>
      </c>
      <c r="M250">
        <v>35.92</v>
      </c>
      <c r="N250">
        <v>35.64</v>
      </c>
      <c r="O250">
        <v>35.4</v>
      </c>
      <c r="P250">
        <v>36.53</v>
      </c>
      <c r="Q250">
        <v>59.92</v>
      </c>
      <c r="R250" t="s">
        <v>137</v>
      </c>
    </row>
    <row r="251" spans="1:18">
      <c r="A251" t="s">
        <v>226</v>
      </c>
      <c r="B251" t="s">
        <v>76</v>
      </c>
      <c r="C251" t="s">
        <v>75</v>
      </c>
      <c r="D251">
        <v>9.72</v>
      </c>
      <c r="E251">
        <v>9.95</v>
      </c>
      <c r="F251">
        <v>6.33</v>
      </c>
      <c r="M251">
        <v>8.84</v>
      </c>
      <c r="N251">
        <v>8.51</v>
      </c>
      <c r="O251">
        <v>8.47</v>
      </c>
      <c r="P251">
        <v>8.8</v>
      </c>
      <c r="Q251">
        <v>70.1</v>
      </c>
      <c r="R251" t="s">
        <v>220</v>
      </c>
    </row>
    <row r="252" spans="1:18">
      <c r="A252" t="s">
        <v>226</v>
      </c>
      <c r="B252" t="s">
        <v>133</v>
      </c>
      <c r="C252" t="s">
        <v>82</v>
      </c>
      <c r="D252">
        <v>9.2</v>
      </c>
      <c r="E252">
        <v>0.66</v>
      </c>
      <c r="F252">
        <v>1.2</v>
      </c>
      <c r="M252">
        <v>9.1</v>
      </c>
      <c r="N252">
        <v>9.08</v>
      </c>
      <c r="O252">
        <v>9.31</v>
      </c>
      <c r="P252">
        <v>10.23</v>
      </c>
      <c r="Q252">
        <v>42.25</v>
      </c>
      <c r="R252" t="s">
        <v>137</v>
      </c>
    </row>
    <row r="253" spans="1:18">
      <c r="A253" t="s">
        <v>226</v>
      </c>
      <c r="B253" t="s">
        <v>88</v>
      </c>
      <c r="C253" t="s">
        <v>87</v>
      </c>
      <c r="D253">
        <v>8.76</v>
      </c>
      <c r="E253">
        <v>-0.23</v>
      </c>
      <c r="F253">
        <v>6.93</v>
      </c>
      <c r="M253">
        <v>8.8</v>
      </c>
      <c r="N253">
        <v>8.88</v>
      </c>
      <c r="O253">
        <v>9</v>
      </c>
      <c r="P253">
        <v>9.28</v>
      </c>
      <c r="Q253">
        <v>39.39</v>
      </c>
      <c r="R253" t="s">
        <v>227</v>
      </c>
    </row>
    <row r="254" spans="1:18">
      <c r="A254" t="s">
        <v>226</v>
      </c>
      <c r="B254" t="s">
        <v>136</v>
      </c>
      <c r="C254" t="s">
        <v>92</v>
      </c>
      <c r="D254">
        <v>6.46</v>
      </c>
      <c r="E254">
        <v>0.94</v>
      </c>
      <c r="F254">
        <v>4.97</v>
      </c>
      <c r="M254">
        <v>6.29</v>
      </c>
      <c r="N254">
        <v>6.26</v>
      </c>
      <c r="O254">
        <v>6.37</v>
      </c>
      <c r="P254">
        <v>7.51</v>
      </c>
      <c r="Q254">
        <v>50.77</v>
      </c>
      <c r="R254" t="s">
        <v>172</v>
      </c>
    </row>
    <row r="255" spans="1:18">
      <c r="A255" t="s">
        <v>226</v>
      </c>
      <c r="B255" t="s">
        <v>100</v>
      </c>
      <c r="C255" t="s">
        <v>99</v>
      </c>
      <c r="D255">
        <v>3.03</v>
      </c>
      <c r="E255">
        <v>0.33</v>
      </c>
      <c r="F255">
        <v>2.09</v>
      </c>
      <c r="M255">
        <v>2.99</v>
      </c>
      <c r="N255">
        <v>2.89</v>
      </c>
      <c r="O255">
        <v>2.83</v>
      </c>
      <c r="P255">
        <v>2.81</v>
      </c>
      <c r="Q255">
        <v>60</v>
      </c>
      <c r="R255" t="s">
        <v>145</v>
      </c>
    </row>
    <row r="256" spans="1:18">
      <c r="A256" t="s">
        <v>226</v>
      </c>
      <c r="B256" t="s">
        <v>103</v>
      </c>
      <c r="C256" t="s">
        <v>102</v>
      </c>
      <c r="D256">
        <v>23.4</v>
      </c>
      <c r="E256">
        <v>1.34</v>
      </c>
      <c r="F256">
        <v>136.97</v>
      </c>
      <c r="M256">
        <v>22.42</v>
      </c>
      <c r="N256">
        <v>19.74</v>
      </c>
      <c r="O256">
        <v>17.61</v>
      </c>
      <c r="P256">
        <v>16.4</v>
      </c>
      <c r="Q256">
        <v>87.28</v>
      </c>
      <c r="R256" t="s">
        <v>137</v>
      </c>
    </row>
    <row r="257" spans="1:18">
      <c r="A257" t="s">
        <v>226</v>
      </c>
      <c r="B257" t="s">
        <v>140</v>
      </c>
      <c r="C257" t="s">
        <v>141</v>
      </c>
      <c r="D257">
        <v>11.63</v>
      </c>
      <c r="E257">
        <v>10.03</v>
      </c>
      <c r="F257">
        <v>4.32</v>
      </c>
      <c r="M257">
        <v>10.68</v>
      </c>
      <c r="N257">
        <v>10.3</v>
      </c>
      <c r="O257">
        <v>10.11</v>
      </c>
      <c r="P257">
        <v>9.66</v>
      </c>
      <c r="Q257">
        <v>71.98</v>
      </c>
      <c r="R257" t="s">
        <v>228</v>
      </c>
    </row>
    <row r="258" spans="1:18">
      <c r="A258" t="s">
        <v>229</v>
      </c>
      <c r="B258" t="s">
        <v>69</v>
      </c>
      <c r="C258" t="s">
        <v>68</v>
      </c>
      <c r="D258">
        <v>37.2</v>
      </c>
      <c r="E258">
        <v>-0.29</v>
      </c>
      <c r="F258">
        <v>10.9</v>
      </c>
      <c r="M258">
        <v>36.57</v>
      </c>
      <c r="N258">
        <v>35.81</v>
      </c>
      <c r="O258">
        <v>35.56</v>
      </c>
      <c r="P258">
        <v>36.54</v>
      </c>
      <c r="Q258">
        <v>61.32</v>
      </c>
      <c r="R258" t="s">
        <v>137</v>
      </c>
    </row>
    <row r="259" spans="1:18">
      <c r="A259" t="s">
        <v>229</v>
      </c>
      <c r="B259" t="s">
        <v>76</v>
      </c>
      <c r="C259" t="s">
        <v>75</v>
      </c>
      <c r="D259">
        <v>10.1</v>
      </c>
      <c r="E259">
        <v>3.91</v>
      </c>
      <c r="F259">
        <v>21.93</v>
      </c>
      <c r="M259">
        <v>9.18</v>
      </c>
      <c r="N259">
        <v>8.71</v>
      </c>
      <c r="O259">
        <v>8.55</v>
      </c>
      <c r="P259">
        <v>8.81</v>
      </c>
      <c r="Q259">
        <v>73.12</v>
      </c>
      <c r="R259" t="s">
        <v>230</v>
      </c>
    </row>
    <row r="260" spans="1:18">
      <c r="A260" t="s">
        <v>229</v>
      </c>
      <c r="B260" t="s">
        <v>133</v>
      </c>
      <c r="C260" t="s">
        <v>82</v>
      </c>
      <c r="D260">
        <v>9.1</v>
      </c>
      <c r="E260">
        <v>-1.09</v>
      </c>
      <c r="F260">
        <v>0.89</v>
      </c>
      <c r="M260">
        <v>9.12</v>
      </c>
      <c r="N260">
        <v>9.08</v>
      </c>
      <c r="O260">
        <v>9.28</v>
      </c>
      <c r="P260">
        <v>10.19</v>
      </c>
      <c r="Q260">
        <v>34.75</v>
      </c>
      <c r="R260" t="s">
        <v>137</v>
      </c>
    </row>
    <row r="261" spans="1:18">
      <c r="A261" t="s">
        <v>229</v>
      </c>
      <c r="B261" t="s">
        <v>88</v>
      </c>
      <c r="C261" t="s">
        <v>87</v>
      </c>
      <c r="D261">
        <v>8.91</v>
      </c>
      <c r="E261">
        <v>1.71</v>
      </c>
      <c r="F261">
        <v>15.07</v>
      </c>
      <c r="M261">
        <v>8.84</v>
      </c>
      <c r="N261">
        <v>8.85</v>
      </c>
      <c r="O261">
        <v>9.02</v>
      </c>
      <c r="P261">
        <v>9.27</v>
      </c>
      <c r="Q261">
        <v>42.86</v>
      </c>
      <c r="R261" t="s">
        <v>137</v>
      </c>
    </row>
    <row r="262" spans="1:18">
      <c r="A262" t="s">
        <v>229</v>
      </c>
      <c r="B262" t="s">
        <v>136</v>
      </c>
      <c r="C262" t="s">
        <v>92</v>
      </c>
      <c r="D262">
        <v>6.37</v>
      </c>
      <c r="E262">
        <v>-1.39</v>
      </c>
      <c r="F262">
        <v>6.47</v>
      </c>
      <c r="M262">
        <v>6.34</v>
      </c>
      <c r="N262">
        <v>6.26</v>
      </c>
      <c r="O262">
        <v>6.36</v>
      </c>
      <c r="P262">
        <v>7.45</v>
      </c>
      <c r="Q262">
        <v>45.52</v>
      </c>
      <c r="R262" t="s">
        <v>172</v>
      </c>
    </row>
    <row r="263" spans="1:18">
      <c r="A263" t="s">
        <v>229</v>
      </c>
      <c r="B263" t="s">
        <v>100</v>
      </c>
      <c r="C263" t="s">
        <v>99</v>
      </c>
      <c r="D263">
        <v>2.95</v>
      </c>
      <c r="E263">
        <v>-2.64</v>
      </c>
      <c r="F263">
        <v>1.9</v>
      </c>
      <c r="M263">
        <v>3</v>
      </c>
      <c r="N263">
        <v>2.9</v>
      </c>
      <c r="O263">
        <v>2.85</v>
      </c>
      <c r="P263">
        <v>2.81</v>
      </c>
      <c r="Q263">
        <v>55.71</v>
      </c>
      <c r="R263" t="s">
        <v>145</v>
      </c>
    </row>
    <row r="264" spans="1:18">
      <c r="A264" t="s">
        <v>229</v>
      </c>
      <c r="B264" t="s">
        <v>103</v>
      </c>
      <c r="C264" t="s">
        <v>102</v>
      </c>
      <c r="D264">
        <v>25.36</v>
      </c>
      <c r="E264">
        <v>8.38</v>
      </c>
      <c r="F264">
        <v>170.82</v>
      </c>
      <c r="M264">
        <v>23.53</v>
      </c>
      <c r="N264">
        <v>20.65</v>
      </c>
      <c r="O264">
        <v>18.13</v>
      </c>
      <c r="P264">
        <v>16.55</v>
      </c>
      <c r="Q264">
        <v>89.19</v>
      </c>
      <c r="R264" t="s">
        <v>231</v>
      </c>
    </row>
    <row r="265" spans="1:18">
      <c r="A265" t="s">
        <v>229</v>
      </c>
      <c r="B265" t="s">
        <v>140</v>
      </c>
      <c r="C265" t="s">
        <v>141</v>
      </c>
      <c r="D265">
        <v>11.94</v>
      </c>
      <c r="E265">
        <v>2.67</v>
      </c>
      <c r="F265">
        <v>10.21</v>
      </c>
      <c r="M265">
        <v>11.05</v>
      </c>
      <c r="N265">
        <v>10.48</v>
      </c>
      <c r="O265">
        <v>10.22</v>
      </c>
      <c r="P265">
        <v>9.72</v>
      </c>
      <c r="Q265">
        <v>73.52</v>
      </c>
      <c r="R265" t="s">
        <v>232</v>
      </c>
    </row>
    <row r="266" spans="1:18">
      <c r="A266" t="s">
        <v>233</v>
      </c>
      <c r="B266" t="s">
        <v>69</v>
      </c>
      <c r="C266" t="s">
        <v>68</v>
      </c>
      <c r="D266">
        <v>38.18</v>
      </c>
      <c r="E266">
        <v>2.63</v>
      </c>
      <c r="F266">
        <v>14.72</v>
      </c>
      <c r="M266">
        <v>37.28</v>
      </c>
      <c r="N266">
        <v>36.1</v>
      </c>
      <c r="O266">
        <v>35.76</v>
      </c>
      <c r="P266">
        <v>36.55</v>
      </c>
      <c r="Q266">
        <v>67.37</v>
      </c>
      <c r="R266" t="s">
        <v>137</v>
      </c>
    </row>
    <row r="267" spans="1:18">
      <c r="A267" t="s">
        <v>233</v>
      </c>
      <c r="B267" t="s">
        <v>76</v>
      </c>
      <c r="C267" t="s">
        <v>75</v>
      </c>
      <c r="D267">
        <v>10.16</v>
      </c>
      <c r="E267">
        <v>0.59</v>
      </c>
      <c r="F267">
        <v>14.97</v>
      </c>
      <c r="M267">
        <v>9.5</v>
      </c>
      <c r="N267">
        <v>8.91</v>
      </c>
      <c r="O267">
        <v>8.64</v>
      </c>
      <c r="P267">
        <v>8.82</v>
      </c>
      <c r="Q267">
        <v>72.73</v>
      </c>
      <c r="R267" t="s">
        <v>230</v>
      </c>
    </row>
    <row r="268" spans="1:18">
      <c r="A268" t="s">
        <v>233</v>
      </c>
      <c r="B268" t="s">
        <v>133</v>
      </c>
      <c r="C268" t="s">
        <v>82</v>
      </c>
      <c r="D268">
        <v>8.95</v>
      </c>
      <c r="E268">
        <v>-1.65</v>
      </c>
      <c r="F268">
        <v>1.32</v>
      </c>
      <c r="M268">
        <v>9.08</v>
      </c>
      <c r="N268">
        <v>9.06</v>
      </c>
      <c r="O268">
        <v>9.23</v>
      </c>
      <c r="P268">
        <v>10.15</v>
      </c>
      <c r="Q268">
        <v>36.03</v>
      </c>
      <c r="R268" t="s">
        <v>137</v>
      </c>
    </row>
    <row r="269" spans="1:18">
      <c r="A269" t="s">
        <v>233</v>
      </c>
      <c r="B269" t="s">
        <v>88</v>
      </c>
      <c r="C269" t="s">
        <v>87</v>
      </c>
      <c r="D269">
        <v>8.87</v>
      </c>
      <c r="E269">
        <v>-0.45</v>
      </c>
      <c r="F269">
        <v>7.79</v>
      </c>
      <c r="M269">
        <v>8.83</v>
      </c>
      <c r="N269">
        <v>8.8</v>
      </c>
      <c r="O269">
        <v>9.02</v>
      </c>
      <c r="P269">
        <v>9.25</v>
      </c>
      <c r="Q269">
        <v>30.34</v>
      </c>
      <c r="R269" t="s">
        <v>137</v>
      </c>
    </row>
    <row r="270" spans="1:18">
      <c r="A270" t="s">
        <v>233</v>
      </c>
      <c r="B270" t="s">
        <v>136</v>
      </c>
      <c r="C270" t="s">
        <v>92</v>
      </c>
      <c r="D270">
        <v>6.33</v>
      </c>
      <c r="E270">
        <v>-0.63</v>
      </c>
      <c r="F270">
        <v>4.85</v>
      </c>
      <c r="M270">
        <v>6.37</v>
      </c>
      <c r="N270">
        <v>6.26</v>
      </c>
      <c r="O270">
        <v>6.36</v>
      </c>
      <c r="P270">
        <v>7.37</v>
      </c>
      <c r="Q270">
        <v>40.31</v>
      </c>
      <c r="R270" t="s">
        <v>172</v>
      </c>
    </row>
    <row r="271" spans="1:18">
      <c r="A271" t="s">
        <v>233</v>
      </c>
      <c r="B271" t="s">
        <v>100</v>
      </c>
      <c r="C271" t="s">
        <v>99</v>
      </c>
      <c r="D271">
        <v>3.03</v>
      </c>
      <c r="E271">
        <v>2.71</v>
      </c>
      <c r="F271">
        <v>2.09</v>
      </c>
      <c r="M271">
        <v>3.01</v>
      </c>
      <c r="N271">
        <v>2.93</v>
      </c>
      <c r="O271">
        <v>2.86</v>
      </c>
      <c r="P271">
        <v>2.81</v>
      </c>
      <c r="Q271">
        <v>58.67</v>
      </c>
      <c r="R271" t="s">
        <v>145</v>
      </c>
    </row>
    <row r="272" spans="1:18">
      <c r="A272" t="s">
        <v>233</v>
      </c>
      <c r="B272" t="s">
        <v>103</v>
      </c>
      <c r="C272" t="s">
        <v>102</v>
      </c>
      <c r="D272">
        <v>25.19</v>
      </c>
      <c r="E272">
        <v>-0.67</v>
      </c>
      <c r="F272">
        <v>129.28</v>
      </c>
      <c r="M272">
        <v>24.2</v>
      </c>
      <c r="N272">
        <v>21.53</v>
      </c>
      <c r="O272">
        <v>18.63</v>
      </c>
      <c r="P272">
        <v>16.7</v>
      </c>
      <c r="Q272">
        <v>87.84</v>
      </c>
      <c r="R272" t="s">
        <v>137</v>
      </c>
    </row>
    <row r="273" spans="1:18">
      <c r="A273" t="s">
        <v>233</v>
      </c>
      <c r="B273" t="s">
        <v>140</v>
      </c>
      <c r="C273" t="s">
        <v>141</v>
      </c>
      <c r="D273">
        <v>11.97</v>
      </c>
      <c r="E273">
        <v>0.25</v>
      </c>
      <c r="F273">
        <v>8.56</v>
      </c>
      <c r="M273">
        <v>11.35</v>
      </c>
      <c r="N273">
        <v>10.7</v>
      </c>
      <c r="O273">
        <v>10.35</v>
      </c>
      <c r="P273">
        <v>9.78</v>
      </c>
      <c r="Q273">
        <v>71.57</v>
      </c>
      <c r="R273" t="s">
        <v>232</v>
      </c>
    </row>
    <row r="274" spans="1:18">
      <c r="A274" t="s">
        <v>234</v>
      </c>
      <c r="B274" t="s">
        <v>69</v>
      </c>
      <c r="C274" t="s">
        <v>68</v>
      </c>
      <c r="D274">
        <v>36.77</v>
      </c>
      <c r="E274">
        <v>-3.69</v>
      </c>
      <c r="F274">
        <v>11.44</v>
      </c>
      <c r="M274">
        <v>37.31</v>
      </c>
      <c r="N274">
        <v>36.22</v>
      </c>
      <c r="O274">
        <v>35.87</v>
      </c>
      <c r="P274">
        <v>36.55</v>
      </c>
      <c r="Q274">
        <v>58.55</v>
      </c>
      <c r="R274" t="s">
        <v>235</v>
      </c>
    </row>
    <row r="275" spans="1:18">
      <c r="A275" t="s">
        <v>234</v>
      </c>
      <c r="B275" t="s">
        <v>76</v>
      </c>
      <c r="C275" t="s">
        <v>75</v>
      </c>
      <c r="D275">
        <v>9.5</v>
      </c>
      <c r="E275">
        <v>-6.5</v>
      </c>
      <c r="F275">
        <v>10.21</v>
      </c>
      <c r="M275">
        <v>9.66</v>
      </c>
      <c r="N275">
        <v>9.04</v>
      </c>
      <c r="O275">
        <v>8.7</v>
      </c>
      <c r="P275">
        <v>8.82</v>
      </c>
      <c r="Q275">
        <v>64.08</v>
      </c>
      <c r="R275" t="s">
        <v>236</v>
      </c>
    </row>
    <row r="276" spans="1:18">
      <c r="A276" t="s">
        <v>234</v>
      </c>
      <c r="B276" t="s">
        <v>133</v>
      </c>
      <c r="C276" t="s">
        <v>82</v>
      </c>
      <c r="D276">
        <v>8.95</v>
      </c>
      <c r="E276">
        <v>0</v>
      </c>
      <c r="F276">
        <v>2.53</v>
      </c>
      <c r="M276">
        <v>9.07</v>
      </c>
      <c r="N276">
        <v>9.05</v>
      </c>
      <c r="O276">
        <v>9.18</v>
      </c>
      <c r="P276">
        <v>10.1</v>
      </c>
      <c r="Q276">
        <v>40.16</v>
      </c>
      <c r="R276" t="s">
        <v>137</v>
      </c>
    </row>
    <row r="277" spans="1:18">
      <c r="A277" t="s">
        <v>234</v>
      </c>
      <c r="B277" t="s">
        <v>88</v>
      </c>
      <c r="C277" t="s">
        <v>87</v>
      </c>
      <c r="D277">
        <v>8.66</v>
      </c>
      <c r="E277">
        <v>-2.37</v>
      </c>
      <c r="F277">
        <v>6.92</v>
      </c>
      <c r="M277">
        <v>8.8</v>
      </c>
      <c r="N277">
        <v>8.78</v>
      </c>
      <c r="O277">
        <v>9.02</v>
      </c>
      <c r="P277">
        <v>9.24</v>
      </c>
      <c r="Q277">
        <v>28.57</v>
      </c>
      <c r="R277" t="s">
        <v>182</v>
      </c>
    </row>
    <row r="278" spans="1:18">
      <c r="A278" t="s">
        <v>234</v>
      </c>
      <c r="B278" t="s">
        <v>136</v>
      </c>
      <c r="C278" t="s">
        <v>92</v>
      </c>
      <c r="D278">
        <v>6.96</v>
      </c>
      <c r="E278">
        <v>9.95</v>
      </c>
      <c r="F278">
        <v>23</v>
      </c>
      <c r="M278">
        <v>6.5</v>
      </c>
      <c r="N278">
        <v>6.33</v>
      </c>
      <c r="O278">
        <v>6.38</v>
      </c>
      <c r="P278">
        <v>7.32</v>
      </c>
      <c r="Q278">
        <v>60.53</v>
      </c>
      <c r="R278" t="s">
        <v>220</v>
      </c>
    </row>
    <row r="279" spans="1:18">
      <c r="A279" t="s">
        <v>234</v>
      </c>
      <c r="B279" t="s">
        <v>100</v>
      </c>
      <c r="C279" t="s">
        <v>99</v>
      </c>
      <c r="D279">
        <v>2.92</v>
      </c>
      <c r="E279">
        <v>-3.63</v>
      </c>
      <c r="F279">
        <v>1.73</v>
      </c>
      <c r="M279">
        <v>2.99</v>
      </c>
      <c r="N279">
        <v>2.94</v>
      </c>
      <c r="O279">
        <v>2.87</v>
      </c>
      <c r="P279">
        <v>2.81</v>
      </c>
      <c r="Q279">
        <v>54.32</v>
      </c>
      <c r="R279" t="s">
        <v>237</v>
      </c>
    </row>
    <row r="280" spans="1:18">
      <c r="A280" t="s">
        <v>234</v>
      </c>
      <c r="B280" t="s">
        <v>103</v>
      </c>
      <c r="C280" t="s">
        <v>102</v>
      </c>
      <c r="D280">
        <v>22.67</v>
      </c>
      <c r="E280">
        <v>-10</v>
      </c>
      <c r="F280">
        <v>122.34</v>
      </c>
      <c r="M280">
        <v>23.94</v>
      </c>
      <c r="N280">
        <v>22.12</v>
      </c>
      <c r="O280">
        <v>19</v>
      </c>
      <c r="P280">
        <v>16.81</v>
      </c>
      <c r="Q280">
        <v>75.17</v>
      </c>
      <c r="R280" t="s">
        <v>238</v>
      </c>
    </row>
    <row r="281" spans="1:18">
      <c r="A281" t="s">
        <v>234</v>
      </c>
      <c r="B281" t="s">
        <v>140</v>
      </c>
      <c r="C281" t="s">
        <v>141</v>
      </c>
      <c r="D281">
        <v>11.13</v>
      </c>
      <c r="E281">
        <v>-7.02</v>
      </c>
      <c r="F281">
        <v>7.76</v>
      </c>
      <c r="M281">
        <v>11.45</v>
      </c>
      <c r="N281">
        <v>10.86</v>
      </c>
      <c r="O281">
        <v>10.41</v>
      </c>
      <c r="P281">
        <v>9.83</v>
      </c>
      <c r="Q281">
        <v>57.08</v>
      </c>
      <c r="R281" t="s">
        <v>239</v>
      </c>
    </row>
    <row r="282" spans="1:18">
      <c r="A282" t="s">
        <v>240</v>
      </c>
      <c r="B282" t="s">
        <v>69</v>
      </c>
      <c r="C282" t="s">
        <v>68</v>
      </c>
      <c r="D282">
        <v>35.63</v>
      </c>
      <c r="E282">
        <v>-3.1</v>
      </c>
      <c r="F282">
        <v>10.53</v>
      </c>
      <c r="M282">
        <v>37.02</v>
      </c>
      <c r="N282">
        <v>36.25</v>
      </c>
      <c r="O282">
        <v>35.88</v>
      </c>
      <c r="P282">
        <v>36.55</v>
      </c>
      <c r="Q282">
        <v>47.42</v>
      </c>
      <c r="R282" t="s">
        <v>241</v>
      </c>
    </row>
    <row r="283" spans="1:18">
      <c r="A283" t="s">
        <v>240</v>
      </c>
      <c r="B283" t="s">
        <v>76</v>
      </c>
      <c r="C283" t="s">
        <v>75</v>
      </c>
      <c r="D283">
        <v>9.31</v>
      </c>
      <c r="E283">
        <v>-2</v>
      </c>
      <c r="F283">
        <v>7.31</v>
      </c>
      <c r="M283">
        <v>9.76</v>
      </c>
      <c r="N283">
        <v>9.18</v>
      </c>
      <c r="O283">
        <v>8.75</v>
      </c>
      <c r="P283">
        <v>8.81</v>
      </c>
      <c r="Q283">
        <v>60.4</v>
      </c>
      <c r="R283" t="s">
        <v>137</v>
      </c>
    </row>
    <row r="284" spans="1:18">
      <c r="A284" t="s">
        <v>240</v>
      </c>
      <c r="B284" t="s">
        <v>133</v>
      </c>
      <c r="C284" t="s">
        <v>82</v>
      </c>
      <c r="D284">
        <v>8.7</v>
      </c>
      <c r="E284">
        <v>-2.79</v>
      </c>
      <c r="F284">
        <v>2.09</v>
      </c>
      <c r="M284">
        <v>8.98</v>
      </c>
      <c r="N284">
        <v>9.02</v>
      </c>
      <c r="O284">
        <v>9.14</v>
      </c>
      <c r="P284">
        <v>10.06</v>
      </c>
      <c r="Q284">
        <v>28.47</v>
      </c>
      <c r="R284" t="s">
        <v>242</v>
      </c>
    </row>
    <row r="285" spans="1:18">
      <c r="A285" t="s">
        <v>240</v>
      </c>
      <c r="B285" t="s">
        <v>88</v>
      </c>
      <c r="C285" t="s">
        <v>87</v>
      </c>
      <c r="D285">
        <v>8.59</v>
      </c>
      <c r="E285">
        <v>-0.81</v>
      </c>
      <c r="F285">
        <v>5.35</v>
      </c>
      <c r="M285">
        <v>8.76</v>
      </c>
      <c r="N285">
        <v>8.77</v>
      </c>
      <c r="O285">
        <v>9.01</v>
      </c>
      <c r="P285">
        <v>9.22</v>
      </c>
      <c r="Q285">
        <v>25.26</v>
      </c>
      <c r="R285" t="s">
        <v>243</v>
      </c>
    </row>
    <row r="286" spans="1:18">
      <c r="A286" t="s">
        <v>240</v>
      </c>
      <c r="B286" t="s">
        <v>136</v>
      </c>
      <c r="C286" t="s">
        <v>92</v>
      </c>
      <c r="D286">
        <v>6.76</v>
      </c>
      <c r="E286">
        <v>-2.87</v>
      </c>
      <c r="F286">
        <v>21.2</v>
      </c>
      <c r="M286">
        <v>6.58</v>
      </c>
      <c r="N286">
        <v>6.4</v>
      </c>
      <c r="O286">
        <v>6.4</v>
      </c>
      <c r="P286">
        <v>7.25</v>
      </c>
      <c r="Q286">
        <v>53.88</v>
      </c>
      <c r="R286" t="s">
        <v>137</v>
      </c>
    </row>
    <row r="287" spans="1:18">
      <c r="A287" t="s">
        <v>240</v>
      </c>
      <c r="B287" t="s">
        <v>100</v>
      </c>
      <c r="C287" t="s">
        <v>99</v>
      </c>
      <c r="D287">
        <v>3.21</v>
      </c>
      <c r="E287">
        <v>9.93</v>
      </c>
      <c r="F287">
        <v>7.18</v>
      </c>
      <c r="M287">
        <v>3.03</v>
      </c>
      <c r="N287">
        <v>2.99</v>
      </c>
      <c r="O287">
        <v>2.9</v>
      </c>
      <c r="P287">
        <v>2.82</v>
      </c>
      <c r="Q287">
        <v>68.87</v>
      </c>
      <c r="R287" t="s">
        <v>177</v>
      </c>
    </row>
    <row r="288" spans="1:18">
      <c r="A288" t="s">
        <v>240</v>
      </c>
      <c r="B288" t="s">
        <v>103</v>
      </c>
      <c r="C288" t="s">
        <v>102</v>
      </c>
      <c r="D288">
        <v>20.5</v>
      </c>
      <c r="E288">
        <v>-9.57</v>
      </c>
      <c r="F288">
        <v>110.35</v>
      </c>
      <c r="M288">
        <v>23.42</v>
      </c>
      <c r="N288">
        <v>22.38</v>
      </c>
      <c r="O288">
        <v>19.25</v>
      </c>
      <c r="P288">
        <v>16.89</v>
      </c>
      <c r="Q288">
        <v>64.92</v>
      </c>
      <c r="R288" t="s">
        <v>238</v>
      </c>
    </row>
    <row r="289" spans="1:18">
      <c r="A289" t="s">
        <v>240</v>
      </c>
      <c r="B289" t="s">
        <v>140</v>
      </c>
      <c r="C289" t="s">
        <v>141</v>
      </c>
      <c r="D289">
        <v>10.66</v>
      </c>
      <c r="E289">
        <v>-4.22</v>
      </c>
      <c r="F289">
        <v>4.59</v>
      </c>
      <c r="M289">
        <v>11.47</v>
      </c>
      <c r="N289">
        <v>10.91</v>
      </c>
      <c r="O289">
        <v>10.46</v>
      </c>
      <c r="P289">
        <v>9.86</v>
      </c>
      <c r="Q289">
        <v>52.57</v>
      </c>
      <c r="R289" t="s">
        <v>244</v>
      </c>
    </row>
    <row r="290" spans="1:18">
      <c r="A290" t="s">
        <v>245</v>
      </c>
      <c r="B290" t="s">
        <v>69</v>
      </c>
      <c r="C290" t="s">
        <v>68</v>
      </c>
      <c r="D290">
        <v>36.69</v>
      </c>
      <c r="E290">
        <v>2.98</v>
      </c>
      <c r="F290">
        <v>15.65</v>
      </c>
      <c r="M290">
        <v>36.89</v>
      </c>
      <c r="N290">
        <v>36.41</v>
      </c>
      <c r="O290">
        <v>35.93</v>
      </c>
      <c r="P290">
        <v>36.54</v>
      </c>
      <c r="Q290">
        <v>55.73</v>
      </c>
      <c r="R290" t="s">
        <v>137</v>
      </c>
    </row>
    <row r="291" spans="1:18">
      <c r="A291" t="s">
        <v>245</v>
      </c>
      <c r="B291" t="s">
        <v>76</v>
      </c>
      <c r="C291" t="s">
        <v>75</v>
      </c>
      <c r="D291">
        <v>9.29</v>
      </c>
      <c r="E291">
        <v>-0.21</v>
      </c>
      <c r="F291">
        <v>4.8</v>
      </c>
      <c r="M291">
        <v>9.67</v>
      </c>
      <c r="N291">
        <v>9.26</v>
      </c>
      <c r="O291">
        <v>8.8</v>
      </c>
      <c r="P291">
        <v>8.8</v>
      </c>
      <c r="Q291">
        <v>66.03</v>
      </c>
      <c r="R291" t="s">
        <v>137</v>
      </c>
    </row>
    <row r="292" spans="1:18">
      <c r="A292" t="s">
        <v>245</v>
      </c>
      <c r="B292" t="s">
        <v>133</v>
      </c>
      <c r="C292" t="s">
        <v>82</v>
      </c>
      <c r="D292">
        <v>8.78</v>
      </c>
      <c r="E292">
        <v>0.92</v>
      </c>
      <c r="F292">
        <v>1.61</v>
      </c>
      <c r="M292">
        <v>8.9</v>
      </c>
      <c r="N292">
        <v>9</v>
      </c>
      <c r="O292">
        <v>9.1</v>
      </c>
      <c r="P292">
        <v>10.01</v>
      </c>
      <c r="Q292">
        <v>34.81</v>
      </c>
      <c r="R292" t="s">
        <v>137</v>
      </c>
    </row>
    <row r="293" spans="1:18">
      <c r="A293" t="s">
        <v>245</v>
      </c>
      <c r="B293" t="s">
        <v>88</v>
      </c>
      <c r="C293" t="s">
        <v>87</v>
      </c>
      <c r="D293">
        <v>8.54</v>
      </c>
      <c r="E293">
        <v>-0.58</v>
      </c>
      <c r="F293">
        <v>4.8</v>
      </c>
      <c r="M293">
        <v>8.71</v>
      </c>
      <c r="N293">
        <v>8.76</v>
      </c>
      <c r="O293">
        <v>8.97</v>
      </c>
      <c r="P293">
        <v>9.2</v>
      </c>
      <c r="Q293">
        <v>28.24</v>
      </c>
      <c r="R293" t="s">
        <v>246</v>
      </c>
    </row>
    <row r="294" spans="1:18">
      <c r="A294" t="s">
        <v>245</v>
      </c>
      <c r="B294" t="s">
        <v>136</v>
      </c>
      <c r="C294" t="s">
        <v>92</v>
      </c>
      <c r="D294">
        <v>6.55</v>
      </c>
      <c r="E294">
        <v>-3.11</v>
      </c>
      <c r="F294">
        <v>10.55</v>
      </c>
      <c r="M294">
        <v>6.59</v>
      </c>
      <c r="N294">
        <v>6.44</v>
      </c>
      <c r="O294">
        <v>6.41</v>
      </c>
      <c r="P294">
        <v>7.18</v>
      </c>
      <c r="Q294">
        <v>53.62</v>
      </c>
      <c r="R294" t="s">
        <v>247</v>
      </c>
    </row>
    <row r="295" spans="1:18">
      <c r="A295" t="s">
        <v>245</v>
      </c>
      <c r="B295" t="s">
        <v>100</v>
      </c>
      <c r="C295" t="s">
        <v>99</v>
      </c>
      <c r="D295">
        <v>3.53</v>
      </c>
      <c r="E295">
        <v>9.97</v>
      </c>
      <c r="F295">
        <v>11.38</v>
      </c>
      <c r="M295">
        <v>3.13</v>
      </c>
      <c r="N295">
        <v>3.06</v>
      </c>
      <c r="O295">
        <v>2.94</v>
      </c>
      <c r="P295">
        <v>2.83</v>
      </c>
      <c r="Q295">
        <v>76.64</v>
      </c>
      <c r="R295" t="s">
        <v>248</v>
      </c>
    </row>
    <row r="296" spans="1:18">
      <c r="A296" t="s">
        <v>245</v>
      </c>
      <c r="B296" t="s">
        <v>103</v>
      </c>
      <c r="C296" t="s">
        <v>102</v>
      </c>
      <c r="D296">
        <v>20.21</v>
      </c>
      <c r="E296">
        <v>-1.41</v>
      </c>
      <c r="F296">
        <v>65.09</v>
      </c>
      <c r="M296">
        <v>22.79</v>
      </c>
      <c r="N296">
        <v>22.6</v>
      </c>
      <c r="O296">
        <v>19.47</v>
      </c>
      <c r="P296">
        <v>16.95</v>
      </c>
      <c r="Q296">
        <v>62.48</v>
      </c>
      <c r="R296" t="s">
        <v>137</v>
      </c>
    </row>
    <row r="297" spans="1:18">
      <c r="A297" t="s">
        <v>245</v>
      </c>
      <c r="B297" t="s">
        <v>140</v>
      </c>
      <c r="C297" t="s">
        <v>141</v>
      </c>
      <c r="D297">
        <v>10.78</v>
      </c>
      <c r="E297">
        <v>1.13</v>
      </c>
      <c r="F297">
        <v>2.8</v>
      </c>
      <c r="M297">
        <v>11.3</v>
      </c>
      <c r="N297">
        <v>10.99</v>
      </c>
      <c r="O297">
        <v>10.51</v>
      </c>
      <c r="P297">
        <v>9.89</v>
      </c>
      <c r="Q297">
        <v>56.39</v>
      </c>
      <c r="R297" t="s">
        <v>137</v>
      </c>
    </row>
    <row r="298" spans="1:18">
      <c r="A298" t="s">
        <v>249</v>
      </c>
      <c r="B298" t="s">
        <v>69</v>
      </c>
      <c r="C298" t="s">
        <v>68</v>
      </c>
      <c r="D298">
        <v>39.77</v>
      </c>
      <c r="E298">
        <v>8.39</v>
      </c>
      <c r="F298">
        <v>24.53</v>
      </c>
      <c r="M298">
        <v>37.41</v>
      </c>
      <c r="N298">
        <v>36.99</v>
      </c>
      <c r="O298">
        <v>36.13</v>
      </c>
      <c r="P298">
        <v>36.57</v>
      </c>
      <c r="Q298">
        <v>67.33</v>
      </c>
      <c r="R298" t="s">
        <v>250</v>
      </c>
    </row>
    <row r="299" spans="1:18">
      <c r="A299" t="s">
        <v>249</v>
      </c>
      <c r="B299" t="s">
        <v>76</v>
      </c>
      <c r="C299" t="s">
        <v>75</v>
      </c>
      <c r="D299">
        <v>9.37</v>
      </c>
      <c r="E299">
        <v>0.86</v>
      </c>
      <c r="F299">
        <v>5.12</v>
      </c>
      <c r="M299">
        <v>9.53</v>
      </c>
      <c r="N299">
        <v>9.35</v>
      </c>
      <c r="O299">
        <v>8.84</v>
      </c>
      <c r="P299">
        <v>8.79</v>
      </c>
      <c r="Q299">
        <v>66.49</v>
      </c>
      <c r="R299" t="s">
        <v>137</v>
      </c>
    </row>
    <row r="300" spans="1:18">
      <c r="A300" t="s">
        <v>249</v>
      </c>
      <c r="B300" t="s">
        <v>133</v>
      </c>
      <c r="C300" t="s">
        <v>82</v>
      </c>
      <c r="D300">
        <v>8.8</v>
      </c>
      <c r="E300">
        <v>0.23</v>
      </c>
      <c r="F300">
        <v>0.99</v>
      </c>
      <c r="M300">
        <v>8.84</v>
      </c>
      <c r="N300">
        <v>8.98</v>
      </c>
      <c r="O300">
        <v>9.07</v>
      </c>
      <c r="P300">
        <v>9.97</v>
      </c>
      <c r="Q300">
        <v>38.28</v>
      </c>
      <c r="R300" t="s">
        <v>137</v>
      </c>
    </row>
    <row r="301" spans="1:18">
      <c r="A301" t="s">
        <v>249</v>
      </c>
      <c r="B301" t="s">
        <v>88</v>
      </c>
      <c r="C301" t="s">
        <v>87</v>
      </c>
      <c r="D301">
        <v>8.61</v>
      </c>
      <c r="E301">
        <v>0.82</v>
      </c>
      <c r="F301">
        <v>5.01</v>
      </c>
      <c r="M301">
        <v>8.65</v>
      </c>
      <c r="N301">
        <v>8.75</v>
      </c>
      <c r="O301">
        <v>8.94</v>
      </c>
      <c r="P301">
        <v>9.18</v>
      </c>
      <c r="Q301">
        <v>27.81</v>
      </c>
      <c r="R301" t="s">
        <v>195</v>
      </c>
    </row>
    <row r="302" spans="1:18">
      <c r="A302" t="s">
        <v>249</v>
      </c>
      <c r="B302" t="s">
        <v>136</v>
      </c>
      <c r="C302" t="s">
        <v>92</v>
      </c>
      <c r="D302">
        <v>7.21</v>
      </c>
      <c r="E302">
        <v>10.08</v>
      </c>
      <c r="F302">
        <v>12.78</v>
      </c>
      <c r="M302">
        <v>6.76</v>
      </c>
      <c r="N302">
        <v>6.55</v>
      </c>
      <c r="O302">
        <v>6.45</v>
      </c>
      <c r="P302">
        <v>7.12</v>
      </c>
      <c r="Q302">
        <v>66.54</v>
      </c>
      <c r="R302" t="s">
        <v>220</v>
      </c>
    </row>
    <row r="303" spans="1:18">
      <c r="A303" t="s">
        <v>249</v>
      </c>
      <c r="B303" t="s">
        <v>100</v>
      </c>
      <c r="C303" t="s">
        <v>99</v>
      </c>
      <c r="D303">
        <v>3.88</v>
      </c>
      <c r="E303">
        <v>9.92</v>
      </c>
      <c r="F303">
        <v>2.43</v>
      </c>
      <c r="M303">
        <v>3.31</v>
      </c>
      <c r="N303">
        <v>3.16</v>
      </c>
      <c r="O303">
        <v>2.99</v>
      </c>
      <c r="P303">
        <v>2.84</v>
      </c>
      <c r="Q303">
        <v>83.33</v>
      </c>
      <c r="R303" t="s">
        <v>220</v>
      </c>
    </row>
    <row r="304" spans="1:18">
      <c r="A304" t="s">
        <v>249</v>
      </c>
      <c r="B304" t="s">
        <v>103</v>
      </c>
      <c r="C304" t="s">
        <v>102</v>
      </c>
      <c r="D304">
        <v>20.72</v>
      </c>
      <c r="E304">
        <v>2.52</v>
      </c>
      <c r="F304">
        <v>69.69</v>
      </c>
      <c r="M304">
        <v>21.86</v>
      </c>
      <c r="N304">
        <v>22.69</v>
      </c>
      <c r="O304">
        <v>19.73</v>
      </c>
      <c r="P304">
        <v>17.03</v>
      </c>
      <c r="Q304">
        <v>63.06</v>
      </c>
      <c r="R304" t="s">
        <v>137</v>
      </c>
    </row>
    <row r="305" spans="1:18">
      <c r="A305" t="s">
        <v>249</v>
      </c>
      <c r="B305" t="s">
        <v>140</v>
      </c>
      <c r="C305" t="s">
        <v>141</v>
      </c>
      <c r="D305">
        <v>11.15</v>
      </c>
      <c r="E305">
        <v>3.43</v>
      </c>
      <c r="F305">
        <v>4.04</v>
      </c>
      <c r="M305">
        <v>11.14</v>
      </c>
      <c r="N305">
        <v>11.09</v>
      </c>
      <c r="O305">
        <v>10.58</v>
      </c>
      <c r="P305">
        <v>9.93</v>
      </c>
      <c r="Q305">
        <v>64.29</v>
      </c>
      <c r="R305" t="s">
        <v>232</v>
      </c>
    </row>
    <row r="306" spans="1:18">
      <c r="A306" t="s">
        <v>251</v>
      </c>
      <c r="B306" t="s">
        <v>69</v>
      </c>
      <c r="C306" t="s">
        <v>68</v>
      </c>
      <c r="D306">
        <v>39.83</v>
      </c>
      <c r="E306">
        <v>0.15</v>
      </c>
      <c r="F306">
        <v>20.24</v>
      </c>
      <c r="M306">
        <v>37.74</v>
      </c>
      <c r="N306">
        <v>37.51</v>
      </c>
      <c r="O306">
        <v>36.35</v>
      </c>
      <c r="P306">
        <v>36.61</v>
      </c>
      <c r="Q306">
        <v>66.61</v>
      </c>
      <c r="R306" t="s">
        <v>137</v>
      </c>
    </row>
    <row r="307" spans="1:18">
      <c r="A307" t="s">
        <v>251</v>
      </c>
      <c r="B307" t="s">
        <v>76</v>
      </c>
      <c r="C307" t="s">
        <v>75</v>
      </c>
      <c r="D307">
        <v>9.11</v>
      </c>
      <c r="E307">
        <v>-2.77</v>
      </c>
      <c r="F307">
        <v>3.97</v>
      </c>
      <c r="M307">
        <v>9.32</v>
      </c>
      <c r="N307">
        <v>9.41</v>
      </c>
      <c r="O307">
        <v>8.87</v>
      </c>
      <c r="P307">
        <v>8.78</v>
      </c>
      <c r="Q307">
        <v>61.24</v>
      </c>
      <c r="R307" t="s">
        <v>137</v>
      </c>
    </row>
    <row r="308" spans="1:18">
      <c r="A308" t="s">
        <v>251</v>
      </c>
      <c r="B308" t="s">
        <v>133</v>
      </c>
      <c r="C308" t="s">
        <v>82</v>
      </c>
      <c r="D308">
        <v>8.9</v>
      </c>
      <c r="E308">
        <v>1.14</v>
      </c>
      <c r="F308">
        <v>1.67</v>
      </c>
      <c r="M308">
        <v>8.83</v>
      </c>
      <c r="N308">
        <v>8.95</v>
      </c>
      <c r="O308">
        <v>9.04</v>
      </c>
      <c r="P308">
        <v>9.93</v>
      </c>
      <c r="Q308">
        <v>45.04</v>
      </c>
      <c r="R308" t="s">
        <v>137</v>
      </c>
    </row>
    <row r="309" spans="1:18">
      <c r="A309" t="s">
        <v>251</v>
      </c>
      <c r="B309" t="s">
        <v>88</v>
      </c>
      <c r="C309" t="s">
        <v>87</v>
      </c>
      <c r="D309">
        <v>8.46</v>
      </c>
      <c r="E309">
        <v>-1.74</v>
      </c>
      <c r="F309">
        <v>4.01</v>
      </c>
      <c r="M309">
        <v>8.57</v>
      </c>
      <c r="N309">
        <v>8.7</v>
      </c>
      <c r="O309">
        <v>8.9</v>
      </c>
      <c r="P309">
        <v>9.16</v>
      </c>
      <c r="Q309">
        <v>34.56</v>
      </c>
      <c r="R309" t="s">
        <v>143</v>
      </c>
    </row>
    <row r="310" spans="1:18">
      <c r="A310" t="s">
        <v>251</v>
      </c>
      <c r="B310" t="s">
        <v>136</v>
      </c>
      <c r="C310" t="s">
        <v>92</v>
      </c>
      <c r="D310">
        <v>7.32</v>
      </c>
      <c r="E310">
        <v>1.53</v>
      </c>
      <c r="F310">
        <v>31.26</v>
      </c>
      <c r="M310">
        <v>6.96</v>
      </c>
      <c r="N310">
        <v>6.67</v>
      </c>
      <c r="O310">
        <v>6.49</v>
      </c>
      <c r="P310">
        <v>7.08</v>
      </c>
      <c r="Q310">
        <v>69.12</v>
      </c>
      <c r="R310" t="s">
        <v>137</v>
      </c>
    </row>
    <row r="311" spans="1:18">
      <c r="A311" t="s">
        <v>251</v>
      </c>
      <c r="B311" t="s">
        <v>100</v>
      </c>
      <c r="C311" t="s">
        <v>99</v>
      </c>
      <c r="D311">
        <v>4.27</v>
      </c>
      <c r="E311">
        <v>10.05</v>
      </c>
      <c r="F311">
        <v>22.3</v>
      </c>
      <c r="M311">
        <v>3.56</v>
      </c>
      <c r="N311">
        <v>3.29</v>
      </c>
      <c r="O311">
        <v>3.06</v>
      </c>
      <c r="P311">
        <v>2.86</v>
      </c>
      <c r="Q311">
        <v>86.07</v>
      </c>
      <c r="R311" t="s">
        <v>220</v>
      </c>
    </row>
    <row r="312" spans="1:18">
      <c r="A312" t="s">
        <v>251</v>
      </c>
      <c r="B312" t="s">
        <v>103</v>
      </c>
      <c r="C312" t="s">
        <v>102</v>
      </c>
      <c r="D312">
        <v>20.77</v>
      </c>
      <c r="E312">
        <v>0.24</v>
      </c>
      <c r="F312">
        <v>78.14</v>
      </c>
      <c r="M312">
        <v>20.97</v>
      </c>
      <c r="N312">
        <v>22.59</v>
      </c>
      <c r="O312">
        <v>19.98</v>
      </c>
      <c r="P312">
        <v>17.11</v>
      </c>
      <c r="Q312">
        <v>62.44</v>
      </c>
      <c r="R312" t="s">
        <v>137</v>
      </c>
    </row>
    <row r="313" spans="1:18">
      <c r="A313" t="s">
        <v>251</v>
      </c>
      <c r="B313" t="s">
        <v>140</v>
      </c>
      <c r="C313" t="s">
        <v>141</v>
      </c>
      <c r="D313">
        <v>10.47</v>
      </c>
      <c r="E313">
        <v>-6.1</v>
      </c>
      <c r="F313">
        <v>3.44</v>
      </c>
      <c r="M313">
        <v>10.84</v>
      </c>
      <c r="N313">
        <v>11.09</v>
      </c>
      <c r="O313">
        <v>10.61</v>
      </c>
      <c r="P313">
        <v>9.96</v>
      </c>
      <c r="Q313">
        <v>58.77</v>
      </c>
      <c r="R313" t="s">
        <v>252</v>
      </c>
    </row>
    <row r="314" spans="1:18">
      <c r="A314" t="s">
        <v>253</v>
      </c>
      <c r="B314" t="s">
        <v>69</v>
      </c>
      <c r="C314" t="s">
        <v>68</v>
      </c>
      <c r="D314">
        <v>39.9</v>
      </c>
      <c r="E314">
        <v>0.18</v>
      </c>
      <c r="F314">
        <v>23.04</v>
      </c>
      <c r="M314">
        <v>38.36</v>
      </c>
      <c r="N314">
        <v>37.84</v>
      </c>
      <c r="O314">
        <v>36.58</v>
      </c>
      <c r="P314">
        <v>36.63</v>
      </c>
      <c r="Q314">
        <v>68.17</v>
      </c>
      <c r="R314" t="s">
        <v>137</v>
      </c>
    </row>
    <row r="315" spans="1:18">
      <c r="A315" t="s">
        <v>253</v>
      </c>
      <c r="B315" t="s">
        <v>76</v>
      </c>
      <c r="C315" t="s">
        <v>75</v>
      </c>
      <c r="D315">
        <v>8.64</v>
      </c>
      <c r="E315">
        <v>-5.16</v>
      </c>
      <c r="F315">
        <v>5.56</v>
      </c>
      <c r="M315">
        <v>9.14</v>
      </c>
      <c r="N315">
        <v>9.4</v>
      </c>
      <c r="O315">
        <v>8.88</v>
      </c>
      <c r="P315">
        <v>8.77</v>
      </c>
      <c r="Q315">
        <v>58.66</v>
      </c>
      <c r="R315" t="s">
        <v>254</v>
      </c>
    </row>
    <row r="316" spans="1:18">
      <c r="A316" t="s">
        <v>253</v>
      </c>
      <c r="B316" t="s">
        <v>133</v>
      </c>
      <c r="C316" t="s">
        <v>82</v>
      </c>
      <c r="D316">
        <v>8.71</v>
      </c>
      <c r="E316">
        <v>-2.13</v>
      </c>
      <c r="F316">
        <v>2.13</v>
      </c>
      <c r="M316">
        <v>8.78</v>
      </c>
      <c r="N316">
        <v>8.92</v>
      </c>
      <c r="O316">
        <v>9.01</v>
      </c>
      <c r="P316">
        <v>9.88</v>
      </c>
      <c r="Q316">
        <v>40.14</v>
      </c>
      <c r="R316" t="s">
        <v>186</v>
      </c>
    </row>
    <row r="317" spans="1:18">
      <c r="A317" t="s">
        <v>253</v>
      </c>
      <c r="B317" t="s">
        <v>88</v>
      </c>
      <c r="C317" t="s">
        <v>87</v>
      </c>
      <c r="D317">
        <v>8.3</v>
      </c>
      <c r="E317">
        <v>-1.89</v>
      </c>
      <c r="F317">
        <v>5.39</v>
      </c>
      <c r="M317">
        <v>8.5</v>
      </c>
      <c r="N317">
        <v>8.65</v>
      </c>
      <c r="O317">
        <v>8.84</v>
      </c>
      <c r="P317">
        <v>9.14</v>
      </c>
      <c r="Q317">
        <v>36.72</v>
      </c>
      <c r="R317" t="s">
        <v>143</v>
      </c>
    </row>
    <row r="318" spans="1:18">
      <c r="A318" t="s">
        <v>253</v>
      </c>
      <c r="B318" t="s">
        <v>136</v>
      </c>
      <c r="C318" t="s">
        <v>92</v>
      </c>
      <c r="D318">
        <v>7.8</v>
      </c>
      <c r="E318">
        <v>6.56</v>
      </c>
      <c r="F318">
        <v>28.37</v>
      </c>
      <c r="M318">
        <v>7.13</v>
      </c>
      <c r="N318">
        <v>6.82</v>
      </c>
      <c r="O318">
        <v>6.55</v>
      </c>
      <c r="P318">
        <v>7.03</v>
      </c>
      <c r="Q318">
        <v>79.73</v>
      </c>
      <c r="R318" t="s">
        <v>255</v>
      </c>
    </row>
    <row r="319" spans="1:18">
      <c r="A319" t="s">
        <v>253</v>
      </c>
      <c r="B319" t="s">
        <v>100</v>
      </c>
      <c r="C319" t="s">
        <v>99</v>
      </c>
      <c r="D319">
        <v>3.96</v>
      </c>
      <c r="E319">
        <v>-7.26</v>
      </c>
      <c r="F319">
        <v>39.32</v>
      </c>
      <c r="M319">
        <v>3.77</v>
      </c>
      <c r="N319">
        <v>3.38</v>
      </c>
      <c r="O319">
        <v>3.11</v>
      </c>
      <c r="P319">
        <v>2.88</v>
      </c>
      <c r="Q319">
        <v>77.23</v>
      </c>
      <c r="R319" t="s">
        <v>256</v>
      </c>
    </row>
    <row r="320" spans="1:18">
      <c r="A320" t="s">
        <v>253</v>
      </c>
      <c r="B320" t="s">
        <v>103</v>
      </c>
      <c r="C320" t="s">
        <v>102</v>
      </c>
      <c r="D320">
        <v>20.3</v>
      </c>
      <c r="E320">
        <v>-2.26</v>
      </c>
      <c r="F320">
        <v>86.21</v>
      </c>
      <c r="M320">
        <v>20.5</v>
      </c>
      <c r="N320">
        <v>22.22</v>
      </c>
      <c r="O320">
        <v>20.2</v>
      </c>
      <c r="P320">
        <v>17.17</v>
      </c>
      <c r="Q320">
        <v>57.97</v>
      </c>
      <c r="R320" t="s">
        <v>137</v>
      </c>
    </row>
    <row r="321" spans="1:18">
      <c r="A321" t="s">
        <v>253</v>
      </c>
      <c r="B321" t="s">
        <v>140</v>
      </c>
      <c r="C321" t="s">
        <v>141</v>
      </c>
      <c r="D321">
        <v>10.43</v>
      </c>
      <c r="E321">
        <v>-0.38</v>
      </c>
      <c r="F321">
        <v>2.5</v>
      </c>
      <c r="M321">
        <v>10.7</v>
      </c>
      <c r="N321">
        <v>11.07</v>
      </c>
      <c r="O321">
        <v>10.62</v>
      </c>
      <c r="P321">
        <v>10</v>
      </c>
      <c r="Q321">
        <v>52.83</v>
      </c>
      <c r="R321" t="s">
        <v>137</v>
      </c>
    </row>
    <row r="322" spans="1:18">
      <c r="A322" t="s">
        <v>130</v>
      </c>
      <c r="B322" t="s">
        <v>106</v>
      </c>
      <c r="C322" t="s">
        <v>105</v>
      </c>
      <c r="D322">
        <v>3.87</v>
      </c>
      <c r="E322">
        <v>-5.15</v>
      </c>
      <c r="F322">
        <v>35.85</v>
      </c>
      <c r="M322">
        <v>4.08</v>
      </c>
      <c r="N322">
        <v>4.22</v>
      </c>
      <c r="O322">
        <v>4.29</v>
      </c>
      <c r="P322">
        <v>4.32</v>
      </c>
      <c r="Q322">
        <v>27.27</v>
      </c>
      <c r="R322" t="s">
        <v>257</v>
      </c>
    </row>
    <row r="323" spans="1:18">
      <c r="A323" t="s">
        <v>142</v>
      </c>
      <c r="B323" t="s">
        <v>106</v>
      </c>
      <c r="C323" t="s">
        <v>105</v>
      </c>
      <c r="D323">
        <v>4</v>
      </c>
      <c r="E323">
        <v>3.36</v>
      </c>
      <c r="F323">
        <v>23.03</v>
      </c>
      <c r="M323">
        <v>4.05</v>
      </c>
      <c r="N323">
        <v>4.18</v>
      </c>
      <c r="O323">
        <v>4.28</v>
      </c>
      <c r="P323">
        <v>4.31</v>
      </c>
      <c r="Q323">
        <v>35.71</v>
      </c>
      <c r="R323" t="s">
        <v>137</v>
      </c>
    </row>
    <row r="324" spans="1:18">
      <c r="A324" t="s">
        <v>147</v>
      </c>
      <c r="B324" t="s">
        <v>106</v>
      </c>
      <c r="C324" t="s">
        <v>105</v>
      </c>
      <c r="D324">
        <v>3.99</v>
      </c>
      <c r="E324">
        <v>-0.25</v>
      </c>
      <c r="F324">
        <v>17.6</v>
      </c>
      <c r="M324">
        <v>4.01</v>
      </c>
      <c r="N324">
        <v>4.14</v>
      </c>
      <c r="O324">
        <v>4.26</v>
      </c>
      <c r="P324">
        <v>4.31</v>
      </c>
      <c r="Q324">
        <v>26.26</v>
      </c>
      <c r="R324" t="s">
        <v>137</v>
      </c>
    </row>
    <row r="325" spans="1:18">
      <c r="A325" t="s">
        <v>148</v>
      </c>
      <c r="B325" t="s">
        <v>106</v>
      </c>
      <c r="C325" t="s">
        <v>105</v>
      </c>
      <c r="D325">
        <v>3.94</v>
      </c>
      <c r="E325">
        <v>-1.25</v>
      </c>
      <c r="F325">
        <v>15.63</v>
      </c>
      <c r="M325">
        <v>3.98</v>
      </c>
      <c r="N325">
        <v>4.09</v>
      </c>
      <c r="O325">
        <v>4.24</v>
      </c>
      <c r="P325">
        <v>4.31</v>
      </c>
      <c r="Q325">
        <v>27.37</v>
      </c>
      <c r="R325" t="s">
        <v>137</v>
      </c>
    </row>
    <row r="326" spans="1:18">
      <c r="A326" t="s">
        <v>151</v>
      </c>
      <c r="B326" t="s">
        <v>106</v>
      </c>
      <c r="C326" t="s">
        <v>105</v>
      </c>
      <c r="D326">
        <v>3.95</v>
      </c>
      <c r="E326">
        <v>0.25</v>
      </c>
      <c r="F326">
        <v>14.09</v>
      </c>
      <c r="M326">
        <v>3.95</v>
      </c>
      <c r="N326">
        <v>4.05</v>
      </c>
      <c r="O326">
        <v>4.22</v>
      </c>
      <c r="P326">
        <v>4.31</v>
      </c>
      <c r="Q326">
        <v>30</v>
      </c>
      <c r="R326" t="s">
        <v>137</v>
      </c>
    </row>
    <row r="327" spans="1:18">
      <c r="A327" t="s">
        <v>154</v>
      </c>
      <c r="B327" t="s">
        <v>106</v>
      </c>
      <c r="C327" t="s">
        <v>105</v>
      </c>
      <c r="D327">
        <v>3.94</v>
      </c>
      <c r="E327">
        <v>-0.25</v>
      </c>
      <c r="F327">
        <v>13.99</v>
      </c>
      <c r="M327">
        <v>3.96</v>
      </c>
      <c r="N327">
        <v>4.02</v>
      </c>
      <c r="O327">
        <v>4.19</v>
      </c>
      <c r="P327">
        <v>4.31</v>
      </c>
      <c r="Q327">
        <v>26.44</v>
      </c>
      <c r="R327" t="s">
        <v>137</v>
      </c>
    </row>
    <row r="328" spans="1:18">
      <c r="A328" t="s">
        <v>157</v>
      </c>
      <c r="B328" t="s">
        <v>106</v>
      </c>
      <c r="C328" t="s">
        <v>105</v>
      </c>
      <c r="D328">
        <v>3.91</v>
      </c>
      <c r="E328">
        <v>-0.76</v>
      </c>
      <c r="F328">
        <v>15.33</v>
      </c>
      <c r="M328">
        <v>3.95</v>
      </c>
      <c r="N328">
        <v>4</v>
      </c>
      <c r="O328">
        <v>4.17</v>
      </c>
      <c r="P328">
        <v>4.3</v>
      </c>
      <c r="Q328">
        <v>22.09</v>
      </c>
      <c r="R328" t="s">
        <v>137</v>
      </c>
    </row>
    <row r="329" spans="1:18">
      <c r="A329" t="s">
        <v>160</v>
      </c>
      <c r="B329" t="s">
        <v>106</v>
      </c>
      <c r="C329" t="s">
        <v>105</v>
      </c>
      <c r="D329">
        <v>4.01</v>
      </c>
      <c r="E329">
        <v>2.56</v>
      </c>
      <c r="F329">
        <v>23.41</v>
      </c>
      <c r="M329">
        <v>3.95</v>
      </c>
      <c r="N329">
        <v>3.98</v>
      </c>
      <c r="O329">
        <v>4.15</v>
      </c>
      <c r="P329">
        <v>4.3</v>
      </c>
      <c r="Q329">
        <v>27.96</v>
      </c>
      <c r="R329" t="s">
        <v>137</v>
      </c>
    </row>
    <row r="330" spans="1:18">
      <c r="A330" t="s">
        <v>162</v>
      </c>
      <c r="B330" t="s">
        <v>106</v>
      </c>
      <c r="C330" t="s">
        <v>105</v>
      </c>
      <c r="D330">
        <v>3.95</v>
      </c>
      <c r="E330">
        <v>-1.5</v>
      </c>
      <c r="F330">
        <v>15.48</v>
      </c>
      <c r="M330">
        <v>3.95</v>
      </c>
      <c r="N330">
        <v>3.96</v>
      </c>
      <c r="O330">
        <v>4.13</v>
      </c>
      <c r="P330">
        <v>4.3</v>
      </c>
      <c r="Q330">
        <v>27.96</v>
      </c>
      <c r="R330" t="s">
        <v>137</v>
      </c>
    </row>
    <row r="331" spans="1:18">
      <c r="A331" t="s">
        <v>166</v>
      </c>
      <c r="B331" t="s">
        <v>106</v>
      </c>
      <c r="C331" t="s">
        <v>105</v>
      </c>
      <c r="D331">
        <v>3.93</v>
      </c>
      <c r="E331">
        <v>-0.51</v>
      </c>
      <c r="F331">
        <v>10.91</v>
      </c>
      <c r="M331">
        <v>3.95</v>
      </c>
      <c r="N331">
        <v>3.95</v>
      </c>
      <c r="O331">
        <v>4.11</v>
      </c>
      <c r="P331">
        <v>4.3</v>
      </c>
      <c r="Q331">
        <v>31.71</v>
      </c>
      <c r="R331" t="s">
        <v>137</v>
      </c>
    </row>
    <row r="332" spans="1:18">
      <c r="A332" t="s">
        <v>170</v>
      </c>
      <c r="B332" t="s">
        <v>106</v>
      </c>
      <c r="C332" t="s">
        <v>105</v>
      </c>
      <c r="D332">
        <v>3.91</v>
      </c>
      <c r="E332">
        <v>-0.51</v>
      </c>
      <c r="F332">
        <v>13.57</v>
      </c>
      <c r="M332">
        <v>3.94</v>
      </c>
      <c r="N332">
        <v>3.95</v>
      </c>
      <c r="O332">
        <v>4.09</v>
      </c>
      <c r="P332">
        <v>4.29</v>
      </c>
      <c r="Q332">
        <v>32.91</v>
      </c>
      <c r="R332" t="s">
        <v>137</v>
      </c>
    </row>
    <row r="333" spans="1:18">
      <c r="A333" t="s">
        <v>173</v>
      </c>
      <c r="B333" t="s">
        <v>106</v>
      </c>
      <c r="C333" t="s">
        <v>105</v>
      </c>
      <c r="D333">
        <v>4.03</v>
      </c>
      <c r="E333">
        <v>3.07</v>
      </c>
      <c r="F333">
        <v>23.13</v>
      </c>
      <c r="M333">
        <v>3.97</v>
      </c>
      <c r="N333">
        <v>3.96</v>
      </c>
      <c r="O333">
        <v>4.07</v>
      </c>
      <c r="P333">
        <v>4.29</v>
      </c>
      <c r="Q333">
        <v>40.45</v>
      </c>
      <c r="R333" t="s">
        <v>137</v>
      </c>
    </row>
    <row r="334" spans="1:18">
      <c r="A334" t="s">
        <v>179</v>
      </c>
      <c r="B334" t="s">
        <v>106</v>
      </c>
      <c r="C334" t="s">
        <v>105</v>
      </c>
      <c r="D334">
        <v>4.01</v>
      </c>
      <c r="E334">
        <v>-0.5</v>
      </c>
      <c r="F334">
        <v>16.74</v>
      </c>
      <c r="M334">
        <v>3.97</v>
      </c>
      <c r="N334">
        <v>3.96</v>
      </c>
      <c r="O334">
        <v>4.05</v>
      </c>
      <c r="P334">
        <v>4.28</v>
      </c>
      <c r="Q334">
        <v>45</v>
      </c>
      <c r="R334" t="s">
        <v>137</v>
      </c>
    </row>
    <row r="335" spans="1:18">
      <c r="A335" t="s">
        <v>183</v>
      </c>
      <c r="B335" t="s">
        <v>106</v>
      </c>
      <c r="C335" t="s">
        <v>105</v>
      </c>
      <c r="D335">
        <v>4.04</v>
      </c>
      <c r="E335">
        <v>0.75</v>
      </c>
      <c r="F335">
        <v>18.75</v>
      </c>
      <c r="M335">
        <v>3.98</v>
      </c>
      <c r="N335">
        <v>3.97</v>
      </c>
      <c r="O335">
        <v>4.03</v>
      </c>
      <c r="P335">
        <v>4.28</v>
      </c>
      <c r="Q335">
        <v>47.56</v>
      </c>
      <c r="R335" t="s">
        <v>137</v>
      </c>
    </row>
    <row r="336" spans="1:18">
      <c r="A336" t="s">
        <v>185</v>
      </c>
      <c r="B336" t="s">
        <v>106</v>
      </c>
      <c r="C336" t="s">
        <v>105</v>
      </c>
      <c r="D336">
        <v>4.03</v>
      </c>
      <c r="E336">
        <v>-0.25</v>
      </c>
      <c r="F336">
        <v>16.27</v>
      </c>
      <c r="M336">
        <v>4</v>
      </c>
      <c r="N336">
        <v>3.98</v>
      </c>
      <c r="O336">
        <v>4.01</v>
      </c>
      <c r="P336">
        <v>4.27</v>
      </c>
      <c r="Q336">
        <v>62.9</v>
      </c>
      <c r="R336" t="s">
        <v>137</v>
      </c>
    </row>
    <row r="337" spans="1:18">
      <c r="A337" t="s">
        <v>188</v>
      </c>
      <c r="B337" t="s">
        <v>106</v>
      </c>
      <c r="C337" t="s">
        <v>105</v>
      </c>
      <c r="D337">
        <v>4.02</v>
      </c>
      <c r="E337">
        <v>-0.25</v>
      </c>
      <c r="F337">
        <v>17.81</v>
      </c>
      <c r="M337">
        <v>4.03</v>
      </c>
      <c r="N337">
        <v>3.98</v>
      </c>
      <c r="O337">
        <v>4</v>
      </c>
      <c r="P337">
        <v>4.26</v>
      </c>
      <c r="Q337">
        <v>52</v>
      </c>
      <c r="R337" t="s">
        <v>137</v>
      </c>
    </row>
    <row r="338" spans="1:18">
      <c r="A338" t="s">
        <v>190</v>
      </c>
      <c r="B338" t="s">
        <v>106</v>
      </c>
      <c r="C338" t="s">
        <v>105</v>
      </c>
      <c r="D338">
        <v>4</v>
      </c>
      <c r="E338">
        <v>-0.5</v>
      </c>
      <c r="F338">
        <v>21.55</v>
      </c>
      <c r="M338">
        <v>4.02</v>
      </c>
      <c r="N338">
        <v>3.99</v>
      </c>
      <c r="O338">
        <v>3.99</v>
      </c>
      <c r="P338">
        <v>4.26</v>
      </c>
      <c r="Q338">
        <v>50.98</v>
      </c>
      <c r="R338" t="s">
        <v>137</v>
      </c>
    </row>
    <row r="339" spans="1:18">
      <c r="A339" t="s">
        <v>192</v>
      </c>
      <c r="B339" t="s">
        <v>106</v>
      </c>
      <c r="C339" t="s">
        <v>105</v>
      </c>
      <c r="D339">
        <v>4.03</v>
      </c>
      <c r="E339">
        <v>0.75</v>
      </c>
      <c r="F339">
        <v>16.64</v>
      </c>
      <c r="M339">
        <v>4.02</v>
      </c>
      <c r="N339">
        <v>4</v>
      </c>
      <c r="O339">
        <v>3.99</v>
      </c>
      <c r="P339">
        <v>4.25</v>
      </c>
      <c r="Q339">
        <v>59.18</v>
      </c>
      <c r="R339" t="s">
        <v>137</v>
      </c>
    </row>
    <row r="340" spans="1:18">
      <c r="A340" t="s">
        <v>193</v>
      </c>
      <c r="B340" t="s">
        <v>106</v>
      </c>
      <c r="C340" t="s">
        <v>105</v>
      </c>
      <c r="D340">
        <v>4.02</v>
      </c>
      <c r="E340">
        <v>-0.25</v>
      </c>
      <c r="F340">
        <v>12.45</v>
      </c>
      <c r="M340">
        <v>4.02</v>
      </c>
      <c r="N340">
        <v>4</v>
      </c>
      <c r="O340">
        <v>3.98</v>
      </c>
      <c r="P340">
        <v>4.24</v>
      </c>
      <c r="Q340">
        <v>57.14</v>
      </c>
      <c r="R340" t="s">
        <v>137</v>
      </c>
    </row>
    <row r="341" spans="1:18">
      <c r="A341" t="s">
        <v>194</v>
      </c>
      <c r="B341" t="s">
        <v>106</v>
      </c>
      <c r="C341" t="s">
        <v>105</v>
      </c>
      <c r="D341">
        <v>4.19</v>
      </c>
      <c r="E341">
        <v>4.23</v>
      </c>
      <c r="F341">
        <v>49.4</v>
      </c>
      <c r="M341">
        <v>4.05</v>
      </c>
      <c r="N341">
        <v>4.03</v>
      </c>
      <c r="O341">
        <v>3.99</v>
      </c>
      <c r="P341">
        <v>4.23</v>
      </c>
      <c r="Q341">
        <v>69.23</v>
      </c>
      <c r="R341" t="s">
        <v>137</v>
      </c>
    </row>
    <row r="342" spans="1:18">
      <c r="A342" t="s">
        <v>197</v>
      </c>
      <c r="B342" t="s">
        <v>106</v>
      </c>
      <c r="C342" t="s">
        <v>105</v>
      </c>
      <c r="D342">
        <v>4.22</v>
      </c>
      <c r="E342">
        <v>0.72</v>
      </c>
      <c r="F342">
        <v>47.86</v>
      </c>
      <c r="M342">
        <v>4.09</v>
      </c>
      <c r="N342">
        <v>4.06</v>
      </c>
      <c r="O342">
        <v>4.01</v>
      </c>
      <c r="P342">
        <v>4.23</v>
      </c>
      <c r="Q342">
        <v>73.85</v>
      </c>
      <c r="R342" t="s">
        <v>137</v>
      </c>
    </row>
    <row r="343" spans="1:18">
      <c r="A343" t="s">
        <v>199</v>
      </c>
      <c r="B343" t="s">
        <v>106</v>
      </c>
      <c r="C343" t="s">
        <v>105</v>
      </c>
      <c r="D343">
        <v>4.27</v>
      </c>
      <c r="E343">
        <v>1.18</v>
      </c>
      <c r="F343">
        <v>28.96</v>
      </c>
      <c r="M343">
        <v>4.15</v>
      </c>
      <c r="N343">
        <v>4.08</v>
      </c>
      <c r="O343">
        <v>4.02</v>
      </c>
      <c r="P343">
        <v>4.23</v>
      </c>
      <c r="Q343">
        <v>71.67</v>
      </c>
      <c r="R343" t="s">
        <v>137</v>
      </c>
    </row>
    <row r="344" spans="1:18">
      <c r="A344" t="s">
        <v>201</v>
      </c>
      <c r="B344" t="s">
        <v>106</v>
      </c>
      <c r="C344" t="s">
        <v>105</v>
      </c>
      <c r="D344">
        <v>4.19</v>
      </c>
      <c r="E344">
        <v>-1.87</v>
      </c>
      <c r="F344">
        <v>29.15</v>
      </c>
      <c r="M344">
        <v>4.18</v>
      </c>
      <c r="N344">
        <v>4.1</v>
      </c>
      <c r="O344">
        <v>4.03</v>
      </c>
      <c r="P344">
        <v>4.22</v>
      </c>
      <c r="Q344">
        <v>69.35</v>
      </c>
      <c r="R344" t="s">
        <v>137</v>
      </c>
    </row>
    <row r="345" spans="1:18">
      <c r="A345" t="s">
        <v>204</v>
      </c>
      <c r="B345" t="s">
        <v>106</v>
      </c>
      <c r="C345" t="s">
        <v>105</v>
      </c>
      <c r="D345">
        <v>4.13</v>
      </c>
      <c r="E345">
        <v>-1.43</v>
      </c>
      <c r="F345">
        <v>19.05</v>
      </c>
      <c r="M345">
        <v>4.2</v>
      </c>
      <c r="N345">
        <v>4.11</v>
      </c>
      <c r="O345">
        <v>4.04</v>
      </c>
      <c r="P345">
        <v>4.22</v>
      </c>
      <c r="Q345">
        <v>65.15</v>
      </c>
      <c r="R345" t="s">
        <v>137</v>
      </c>
    </row>
    <row r="346" spans="1:18">
      <c r="A346" t="s">
        <v>205</v>
      </c>
      <c r="B346" t="s">
        <v>106</v>
      </c>
      <c r="C346" t="s">
        <v>105</v>
      </c>
      <c r="D346">
        <v>4.21</v>
      </c>
      <c r="E346">
        <v>1.94</v>
      </c>
      <c r="F346">
        <v>20.19</v>
      </c>
      <c r="M346">
        <v>4.2</v>
      </c>
      <c r="N346">
        <v>4.13</v>
      </c>
      <c r="O346">
        <v>4.05</v>
      </c>
      <c r="P346">
        <v>4.21</v>
      </c>
      <c r="Q346">
        <v>70.83</v>
      </c>
      <c r="R346" t="s">
        <v>137</v>
      </c>
    </row>
    <row r="347" spans="1:18">
      <c r="A347" t="s">
        <v>207</v>
      </c>
      <c r="B347" t="s">
        <v>106</v>
      </c>
      <c r="C347" t="s">
        <v>105</v>
      </c>
      <c r="D347">
        <v>4.15</v>
      </c>
      <c r="E347">
        <v>-1.43</v>
      </c>
      <c r="F347">
        <v>16.47</v>
      </c>
      <c r="M347">
        <v>4.19</v>
      </c>
      <c r="N347">
        <v>4.14</v>
      </c>
      <c r="O347">
        <v>4.06</v>
      </c>
      <c r="P347">
        <v>4.21</v>
      </c>
      <c r="Q347">
        <v>59.09</v>
      </c>
      <c r="R347" t="s">
        <v>137</v>
      </c>
    </row>
    <row r="348" spans="1:18">
      <c r="A348" t="s">
        <v>213</v>
      </c>
      <c r="B348" t="s">
        <v>106</v>
      </c>
      <c r="C348" t="s">
        <v>105</v>
      </c>
      <c r="D348">
        <v>4.17</v>
      </c>
      <c r="E348">
        <v>0.48</v>
      </c>
      <c r="F348">
        <v>17.19</v>
      </c>
      <c r="M348">
        <v>4.17</v>
      </c>
      <c r="N348">
        <v>4.16</v>
      </c>
      <c r="O348">
        <v>4.08</v>
      </c>
      <c r="P348">
        <v>4.2</v>
      </c>
      <c r="Q348">
        <v>62.12</v>
      </c>
      <c r="R348" t="s">
        <v>137</v>
      </c>
    </row>
    <row r="349" spans="1:18">
      <c r="A349" t="s">
        <v>215</v>
      </c>
      <c r="B349" t="s">
        <v>106</v>
      </c>
      <c r="C349" t="s">
        <v>105</v>
      </c>
      <c r="D349">
        <v>4.08</v>
      </c>
      <c r="E349">
        <v>-2.16</v>
      </c>
      <c r="F349">
        <v>30.6</v>
      </c>
      <c r="M349">
        <v>4.15</v>
      </c>
      <c r="N349">
        <v>4.16</v>
      </c>
      <c r="O349">
        <v>4.08</v>
      </c>
      <c r="P349">
        <v>4.19</v>
      </c>
      <c r="Q349">
        <v>52.78</v>
      </c>
      <c r="R349" t="s">
        <v>137</v>
      </c>
    </row>
    <row r="350" spans="1:18">
      <c r="A350" t="s">
        <v>218</v>
      </c>
      <c r="B350" t="s">
        <v>106</v>
      </c>
      <c r="C350" t="s">
        <v>105</v>
      </c>
      <c r="D350">
        <v>4.18</v>
      </c>
      <c r="E350">
        <v>2.45</v>
      </c>
      <c r="F350">
        <v>34.37</v>
      </c>
      <c r="M350">
        <v>4.16</v>
      </c>
      <c r="N350">
        <v>4.18</v>
      </c>
      <c r="O350">
        <v>4.09</v>
      </c>
      <c r="P350">
        <v>4.19</v>
      </c>
      <c r="Q350">
        <v>59.26</v>
      </c>
      <c r="R350" t="s">
        <v>137</v>
      </c>
    </row>
    <row r="351" spans="1:18">
      <c r="A351" t="s">
        <v>221</v>
      </c>
      <c r="B351" t="s">
        <v>106</v>
      </c>
      <c r="C351" t="s">
        <v>105</v>
      </c>
      <c r="D351">
        <v>4.21</v>
      </c>
      <c r="E351">
        <v>0.72</v>
      </c>
      <c r="F351">
        <v>27.97</v>
      </c>
      <c r="M351">
        <v>4.16</v>
      </c>
      <c r="N351">
        <v>4.18</v>
      </c>
      <c r="O351">
        <v>4.1</v>
      </c>
      <c r="P351">
        <v>4.18</v>
      </c>
      <c r="Q351">
        <v>61.45</v>
      </c>
      <c r="R351" t="s">
        <v>137</v>
      </c>
    </row>
    <row r="352" spans="1:18">
      <c r="A352" t="s">
        <v>224</v>
      </c>
      <c r="B352" t="s">
        <v>106</v>
      </c>
      <c r="C352" t="s">
        <v>105</v>
      </c>
      <c r="D352">
        <v>4.17</v>
      </c>
      <c r="E352">
        <v>-0.95</v>
      </c>
      <c r="F352">
        <v>26.46</v>
      </c>
      <c r="M352">
        <v>4.16</v>
      </c>
      <c r="N352">
        <v>4.18</v>
      </c>
      <c r="O352">
        <v>4.12</v>
      </c>
      <c r="P352">
        <v>4.18</v>
      </c>
      <c r="Q352">
        <v>60</v>
      </c>
      <c r="R352" t="s">
        <v>137</v>
      </c>
    </row>
    <row r="353" spans="1:18">
      <c r="A353" t="s">
        <v>226</v>
      </c>
      <c r="B353" t="s">
        <v>106</v>
      </c>
      <c r="C353" t="s">
        <v>105</v>
      </c>
      <c r="D353">
        <v>4.19</v>
      </c>
      <c r="E353">
        <v>0.48</v>
      </c>
      <c r="F353">
        <v>25.56</v>
      </c>
      <c r="M353">
        <v>4.17</v>
      </c>
      <c r="N353">
        <v>4.17</v>
      </c>
      <c r="O353">
        <v>4.13</v>
      </c>
      <c r="P353">
        <v>4.18</v>
      </c>
      <c r="Q353">
        <v>59.52</v>
      </c>
      <c r="R353" t="s">
        <v>137</v>
      </c>
    </row>
    <row r="354" spans="1:18">
      <c r="A354" t="s">
        <v>229</v>
      </c>
      <c r="B354" t="s">
        <v>106</v>
      </c>
      <c r="C354" t="s">
        <v>105</v>
      </c>
      <c r="D354">
        <v>4.17</v>
      </c>
      <c r="E354">
        <v>-0.48</v>
      </c>
      <c r="F354">
        <v>25.91</v>
      </c>
      <c r="M354">
        <v>4.18</v>
      </c>
      <c r="N354">
        <v>4.17</v>
      </c>
      <c r="O354">
        <v>4.13</v>
      </c>
      <c r="P354">
        <v>4.18</v>
      </c>
      <c r="Q354">
        <v>58.82</v>
      </c>
      <c r="R354" t="s">
        <v>137</v>
      </c>
    </row>
    <row r="355" spans="1:18">
      <c r="A355" t="s">
        <v>233</v>
      </c>
      <c r="B355" t="s">
        <v>106</v>
      </c>
      <c r="C355" t="s">
        <v>105</v>
      </c>
      <c r="D355">
        <v>4.23</v>
      </c>
      <c r="E355">
        <v>1.44</v>
      </c>
      <c r="F355">
        <v>26.79</v>
      </c>
      <c r="M355">
        <v>4.19</v>
      </c>
      <c r="N355">
        <v>4.18</v>
      </c>
      <c r="O355">
        <v>4.14</v>
      </c>
      <c r="P355">
        <v>4.18</v>
      </c>
      <c r="Q355">
        <v>52.7</v>
      </c>
      <c r="R355" t="s">
        <v>137</v>
      </c>
    </row>
    <row r="356" spans="1:18">
      <c r="A356" t="s">
        <v>234</v>
      </c>
      <c r="B356" t="s">
        <v>106</v>
      </c>
      <c r="C356" t="s">
        <v>105</v>
      </c>
      <c r="D356">
        <v>4.22</v>
      </c>
      <c r="E356">
        <v>-0.24</v>
      </c>
      <c r="F356">
        <v>37.33</v>
      </c>
      <c r="M356">
        <v>4.2</v>
      </c>
      <c r="N356">
        <v>4.18</v>
      </c>
      <c r="O356">
        <v>4.15</v>
      </c>
      <c r="P356">
        <v>4.17</v>
      </c>
      <c r="Q356">
        <v>50</v>
      </c>
      <c r="R356" t="s">
        <v>137</v>
      </c>
    </row>
    <row r="357" spans="1:18">
      <c r="A357" t="s">
        <v>240</v>
      </c>
      <c r="B357" t="s">
        <v>106</v>
      </c>
      <c r="C357" t="s">
        <v>105</v>
      </c>
      <c r="D357">
        <v>4.14</v>
      </c>
      <c r="E357">
        <v>-1.9</v>
      </c>
      <c r="F357">
        <v>34.18</v>
      </c>
      <c r="M357">
        <v>4.19</v>
      </c>
      <c r="N357">
        <v>4.18</v>
      </c>
      <c r="O357">
        <v>4.16</v>
      </c>
      <c r="P357">
        <v>4.17</v>
      </c>
      <c r="Q357">
        <v>41.33</v>
      </c>
      <c r="R357" t="s">
        <v>137</v>
      </c>
    </row>
    <row r="358" spans="1:18">
      <c r="A358" t="s">
        <v>245</v>
      </c>
      <c r="B358" t="s">
        <v>106</v>
      </c>
      <c r="C358" t="s">
        <v>105</v>
      </c>
      <c r="D358">
        <v>4.21</v>
      </c>
      <c r="E358">
        <v>1.69</v>
      </c>
      <c r="F358">
        <v>35.12</v>
      </c>
      <c r="M358">
        <v>4.19</v>
      </c>
      <c r="N358">
        <v>4.18</v>
      </c>
      <c r="O358">
        <v>4.17</v>
      </c>
      <c r="P358">
        <v>4.17</v>
      </c>
      <c r="Q358">
        <v>51.35</v>
      </c>
      <c r="R358" t="s">
        <v>137</v>
      </c>
    </row>
    <row r="359" spans="1:18">
      <c r="A359" t="s">
        <v>249</v>
      </c>
      <c r="B359" t="s">
        <v>106</v>
      </c>
      <c r="C359" t="s">
        <v>105</v>
      </c>
      <c r="D359">
        <v>4.31</v>
      </c>
      <c r="E359">
        <v>2.38</v>
      </c>
      <c r="F359">
        <v>37.41</v>
      </c>
      <c r="M359">
        <v>4.22</v>
      </c>
      <c r="N359">
        <v>4.2</v>
      </c>
      <c r="O359">
        <v>4.18</v>
      </c>
      <c r="P359">
        <v>4.17</v>
      </c>
      <c r="Q359">
        <v>61.54</v>
      </c>
      <c r="R359" t="s">
        <v>137</v>
      </c>
    </row>
    <row r="360" spans="1:18">
      <c r="A360" t="s">
        <v>251</v>
      </c>
      <c r="B360" t="s">
        <v>106</v>
      </c>
      <c r="C360" t="s">
        <v>105</v>
      </c>
      <c r="D360">
        <v>4.26</v>
      </c>
      <c r="E360">
        <v>-1.16</v>
      </c>
      <c r="F360">
        <v>24.41</v>
      </c>
      <c r="M360">
        <v>4.23</v>
      </c>
      <c r="N360">
        <v>4.21</v>
      </c>
      <c r="O360">
        <v>4.19</v>
      </c>
      <c r="P360">
        <v>4.17</v>
      </c>
      <c r="Q360">
        <v>53.33</v>
      </c>
      <c r="R360" t="s">
        <v>137</v>
      </c>
    </row>
    <row r="361" spans="1:18">
      <c r="A361" t="s">
        <v>253</v>
      </c>
      <c r="B361" t="s">
        <v>106</v>
      </c>
      <c r="C361" t="s">
        <v>105</v>
      </c>
      <c r="D361">
        <v>4.69</v>
      </c>
      <c r="E361">
        <v>10.09</v>
      </c>
      <c r="F361">
        <v>48.59</v>
      </c>
      <c r="M361">
        <v>4.32</v>
      </c>
      <c r="N361">
        <v>4.26</v>
      </c>
      <c r="O361">
        <v>4.22</v>
      </c>
      <c r="P361">
        <v>4.17</v>
      </c>
      <c r="Q361">
        <v>74.11</v>
      </c>
      <c r="R361" t="s">
        <v>220</v>
      </c>
    </row>
    <row r="362" spans="1:18">
      <c r="A362" t="s">
        <v>130</v>
      </c>
      <c r="B362" t="s">
        <v>258</v>
      </c>
      <c r="C362" t="s">
        <v>259</v>
      </c>
      <c r="D362">
        <v>66.25</v>
      </c>
      <c r="E362">
        <v>-0.11</v>
      </c>
      <c r="F362">
        <v>11.78</v>
      </c>
      <c r="M362">
        <v>68.73</v>
      </c>
      <c r="N362">
        <v>73.47</v>
      </c>
      <c r="O362">
        <v>77.79</v>
      </c>
      <c r="P362">
        <v>61.72</v>
      </c>
      <c r="Q362">
        <v>34.46</v>
      </c>
      <c r="R362" t="s">
        <v>137</v>
      </c>
    </row>
    <row r="363" spans="1:18">
      <c r="A363" t="s">
        <v>142</v>
      </c>
      <c r="B363" t="s">
        <v>258</v>
      </c>
      <c r="C363" t="s">
        <v>259</v>
      </c>
      <c r="D363">
        <v>67.5</v>
      </c>
      <c r="E363">
        <v>1.89</v>
      </c>
      <c r="F363">
        <v>7.33</v>
      </c>
      <c r="M363">
        <v>67.99</v>
      </c>
      <c r="N363">
        <v>71.84</v>
      </c>
      <c r="O363">
        <v>76.94</v>
      </c>
      <c r="P363">
        <v>62.49</v>
      </c>
      <c r="Q363">
        <v>35.21</v>
      </c>
      <c r="R363" t="s">
        <v>137</v>
      </c>
    </row>
    <row r="364" spans="1:18">
      <c r="A364" t="s">
        <v>147</v>
      </c>
      <c r="B364" t="s">
        <v>258</v>
      </c>
      <c r="C364" t="s">
        <v>259</v>
      </c>
      <c r="D364">
        <v>67.89</v>
      </c>
      <c r="E364">
        <v>0.58</v>
      </c>
      <c r="F364">
        <v>6.78</v>
      </c>
      <c r="M364">
        <v>67.25</v>
      </c>
      <c r="N364">
        <v>70.82</v>
      </c>
      <c r="O364">
        <v>75.96</v>
      </c>
      <c r="P364">
        <v>63.28</v>
      </c>
      <c r="Q364">
        <v>34.77</v>
      </c>
      <c r="R364" t="s">
        <v>137</v>
      </c>
    </row>
    <row r="365" spans="1:18">
      <c r="A365" t="s">
        <v>148</v>
      </c>
      <c r="B365" t="s">
        <v>258</v>
      </c>
      <c r="C365" t="s">
        <v>259</v>
      </c>
      <c r="D365">
        <v>67.27</v>
      </c>
      <c r="E365">
        <v>-0.91</v>
      </c>
      <c r="F365">
        <v>5.66</v>
      </c>
      <c r="M365">
        <v>67.05</v>
      </c>
      <c r="N365">
        <v>70.13</v>
      </c>
      <c r="O365">
        <v>75.13</v>
      </c>
      <c r="P365">
        <v>64.05</v>
      </c>
      <c r="Q365">
        <v>34.64</v>
      </c>
      <c r="R365" t="s">
        <v>137</v>
      </c>
    </row>
    <row r="366" spans="1:18">
      <c r="A366" t="s">
        <v>151</v>
      </c>
      <c r="B366" t="s">
        <v>258</v>
      </c>
      <c r="C366" t="s">
        <v>259</v>
      </c>
      <c r="D366">
        <v>68.26</v>
      </c>
      <c r="E366">
        <v>1.47</v>
      </c>
      <c r="F366">
        <v>5.33</v>
      </c>
      <c r="M366">
        <v>67.43</v>
      </c>
      <c r="N366">
        <v>68.8</v>
      </c>
      <c r="O366">
        <v>74.42</v>
      </c>
      <c r="P366">
        <v>64.85</v>
      </c>
      <c r="Q366">
        <v>38.13</v>
      </c>
      <c r="R366" t="s">
        <v>137</v>
      </c>
    </row>
    <row r="367" spans="1:18">
      <c r="A367" t="s">
        <v>154</v>
      </c>
      <c r="B367" t="s">
        <v>258</v>
      </c>
      <c r="C367" t="s">
        <v>259</v>
      </c>
      <c r="D367">
        <v>68.61</v>
      </c>
      <c r="E367">
        <v>0.51</v>
      </c>
      <c r="F367">
        <v>4.58</v>
      </c>
      <c r="M367">
        <v>67.91</v>
      </c>
      <c r="N367">
        <v>68.32</v>
      </c>
      <c r="O367">
        <v>73.71</v>
      </c>
      <c r="P367">
        <v>65.67</v>
      </c>
      <c r="Q367">
        <v>29.38</v>
      </c>
      <c r="R367" t="s">
        <v>137</v>
      </c>
    </row>
    <row r="368" spans="1:18">
      <c r="A368" t="s">
        <v>157</v>
      </c>
      <c r="B368" t="s">
        <v>258</v>
      </c>
      <c r="C368" t="s">
        <v>259</v>
      </c>
      <c r="D368">
        <v>67.78</v>
      </c>
      <c r="E368">
        <v>-1.21</v>
      </c>
      <c r="F368">
        <v>5.81</v>
      </c>
      <c r="M368">
        <v>67.96</v>
      </c>
      <c r="N368">
        <v>67.98</v>
      </c>
      <c r="O368">
        <v>73.12</v>
      </c>
      <c r="P368">
        <v>66.48</v>
      </c>
      <c r="Q368">
        <v>33.86</v>
      </c>
      <c r="R368" t="s">
        <v>137</v>
      </c>
    </row>
    <row r="369" spans="1:18">
      <c r="A369" t="s">
        <v>160</v>
      </c>
      <c r="B369" t="s">
        <v>258</v>
      </c>
      <c r="C369" t="s">
        <v>259</v>
      </c>
      <c r="D369">
        <v>70.05</v>
      </c>
      <c r="E369">
        <v>3.35</v>
      </c>
      <c r="F369">
        <v>10.9</v>
      </c>
      <c r="M369">
        <v>68.39</v>
      </c>
      <c r="N369">
        <v>67.82</v>
      </c>
      <c r="O369">
        <v>72.6</v>
      </c>
      <c r="P369">
        <v>67.31</v>
      </c>
      <c r="Q369">
        <v>43.22</v>
      </c>
      <c r="R369" t="s">
        <v>137</v>
      </c>
    </row>
    <row r="370" spans="1:18">
      <c r="A370" t="s">
        <v>162</v>
      </c>
      <c r="B370" t="s">
        <v>258</v>
      </c>
      <c r="C370" t="s">
        <v>259</v>
      </c>
      <c r="D370">
        <v>66.43</v>
      </c>
      <c r="E370">
        <v>-5.17</v>
      </c>
      <c r="F370">
        <v>8.85</v>
      </c>
      <c r="M370">
        <v>68.23</v>
      </c>
      <c r="N370">
        <v>67.64</v>
      </c>
      <c r="O370">
        <v>71.87</v>
      </c>
      <c r="P370">
        <v>68.09</v>
      </c>
      <c r="Q370">
        <v>21.43</v>
      </c>
      <c r="R370" t="s">
        <v>260</v>
      </c>
    </row>
    <row r="371" spans="1:18">
      <c r="A371" t="s">
        <v>166</v>
      </c>
      <c r="B371" t="s">
        <v>258</v>
      </c>
      <c r="C371" t="s">
        <v>259</v>
      </c>
      <c r="D371">
        <v>65.45</v>
      </c>
      <c r="E371">
        <v>-1.48</v>
      </c>
      <c r="F371">
        <v>6.96</v>
      </c>
      <c r="M371">
        <v>67.66</v>
      </c>
      <c r="N371">
        <v>67.55</v>
      </c>
      <c r="O371">
        <v>71.11</v>
      </c>
      <c r="P371">
        <v>68.85</v>
      </c>
      <c r="Q371">
        <v>29.38</v>
      </c>
      <c r="R371" t="s">
        <v>137</v>
      </c>
    </row>
    <row r="372" spans="1:18">
      <c r="A372" t="s">
        <v>170</v>
      </c>
      <c r="B372" t="s">
        <v>258</v>
      </c>
      <c r="C372" t="s">
        <v>259</v>
      </c>
      <c r="D372">
        <v>65.45</v>
      </c>
      <c r="E372">
        <v>0</v>
      </c>
      <c r="F372">
        <v>3.29</v>
      </c>
      <c r="M372">
        <v>67.03</v>
      </c>
      <c r="N372">
        <v>67.47</v>
      </c>
      <c r="O372">
        <v>70.47</v>
      </c>
      <c r="P372">
        <v>69.62</v>
      </c>
      <c r="Q372">
        <v>33.26</v>
      </c>
      <c r="R372" t="s">
        <v>137</v>
      </c>
    </row>
    <row r="373" spans="1:18">
      <c r="A373" t="s">
        <v>173</v>
      </c>
      <c r="B373" t="s">
        <v>258</v>
      </c>
      <c r="C373" t="s">
        <v>259</v>
      </c>
      <c r="D373">
        <v>68.71</v>
      </c>
      <c r="E373">
        <v>4.98</v>
      </c>
      <c r="F373">
        <v>6.27</v>
      </c>
      <c r="M373">
        <v>67.22</v>
      </c>
      <c r="N373">
        <v>67.59</v>
      </c>
      <c r="O373">
        <v>69.72</v>
      </c>
      <c r="P373">
        <v>70.44</v>
      </c>
      <c r="Q373">
        <v>42.74</v>
      </c>
      <c r="R373" t="s">
        <v>137</v>
      </c>
    </row>
    <row r="374" spans="1:18">
      <c r="A374" t="s">
        <v>179</v>
      </c>
      <c r="B374" t="s">
        <v>258</v>
      </c>
      <c r="C374" t="s">
        <v>259</v>
      </c>
      <c r="D374">
        <v>68.74</v>
      </c>
      <c r="E374">
        <v>0.04</v>
      </c>
      <c r="F374">
        <v>5.64</v>
      </c>
      <c r="M374">
        <v>66.96</v>
      </c>
      <c r="N374">
        <v>67.68</v>
      </c>
      <c r="O374">
        <v>69.25</v>
      </c>
      <c r="P374">
        <v>71.29</v>
      </c>
      <c r="Q374">
        <v>51.32</v>
      </c>
      <c r="R374" t="s">
        <v>137</v>
      </c>
    </row>
    <row r="375" spans="1:18">
      <c r="A375" t="s">
        <v>183</v>
      </c>
      <c r="B375" t="s">
        <v>258</v>
      </c>
      <c r="C375" t="s">
        <v>259</v>
      </c>
      <c r="D375">
        <v>68.27</v>
      </c>
      <c r="E375">
        <v>-0.68</v>
      </c>
      <c r="F375">
        <v>5.16</v>
      </c>
      <c r="M375">
        <v>67.32</v>
      </c>
      <c r="N375">
        <v>67.78</v>
      </c>
      <c r="O375">
        <v>68.95</v>
      </c>
      <c r="P375">
        <v>72.1</v>
      </c>
      <c r="Q375">
        <v>56.44</v>
      </c>
      <c r="R375" t="s">
        <v>137</v>
      </c>
    </row>
    <row r="376" spans="1:18">
      <c r="A376" t="s">
        <v>185</v>
      </c>
      <c r="B376" t="s">
        <v>258</v>
      </c>
      <c r="C376" t="s">
        <v>259</v>
      </c>
      <c r="D376">
        <v>68.8</v>
      </c>
      <c r="E376">
        <v>0.78</v>
      </c>
      <c r="F376">
        <v>3.88</v>
      </c>
      <c r="M376">
        <v>67.99</v>
      </c>
      <c r="N376">
        <v>67.83</v>
      </c>
      <c r="O376">
        <v>68.31</v>
      </c>
      <c r="P376">
        <v>72.89</v>
      </c>
      <c r="Q376">
        <v>58.18</v>
      </c>
      <c r="R376" t="s">
        <v>137</v>
      </c>
    </row>
    <row r="377" spans="1:18">
      <c r="A377" t="s">
        <v>188</v>
      </c>
      <c r="B377" t="s">
        <v>258</v>
      </c>
      <c r="C377" t="s">
        <v>259</v>
      </c>
      <c r="D377">
        <v>69.73</v>
      </c>
      <c r="E377">
        <v>1.35</v>
      </c>
      <c r="F377">
        <v>5.55</v>
      </c>
      <c r="M377">
        <v>68.85</v>
      </c>
      <c r="N377">
        <v>67.94</v>
      </c>
      <c r="O377">
        <v>68.13</v>
      </c>
      <c r="P377">
        <v>73.65</v>
      </c>
      <c r="Q377">
        <v>57.3</v>
      </c>
      <c r="R377" t="s">
        <v>137</v>
      </c>
    </row>
    <row r="378" spans="1:18">
      <c r="A378" t="s">
        <v>190</v>
      </c>
      <c r="B378" t="s">
        <v>258</v>
      </c>
      <c r="C378" t="s">
        <v>259</v>
      </c>
      <c r="D378">
        <v>68.63</v>
      </c>
      <c r="E378">
        <v>-1.58</v>
      </c>
      <c r="F378">
        <v>5.81</v>
      </c>
      <c r="M378">
        <v>68.83</v>
      </c>
      <c r="N378">
        <v>68.03</v>
      </c>
      <c r="O378">
        <v>68</v>
      </c>
      <c r="P378">
        <v>74.36</v>
      </c>
      <c r="Q378">
        <v>52.32</v>
      </c>
      <c r="R378" t="s">
        <v>137</v>
      </c>
    </row>
    <row r="379" spans="1:18">
      <c r="A379" t="s">
        <v>192</v>
      </c>
      <c r="B379" t="s">
        <v>258</v>
      </c>
      <c r="C379" t="s">
        <v>259</v>
      </c>
      <c r="D379">
        <v>70.16</v>
      </c>
      <c r="E379">
        <v>2.23</v>
      </c>
      <c r="F379">
        <v>6.59</v>
      </c>
      <c r="M379">
        <v>69.12</v>
      </c>
      <c r="N379">
        <v>68.04</v>
      </c>
      <c r="O379">
        <v>67.93</v>
      </c>
      <c r="P379">
        <v>75.05</v>
      </c>
      <c r="Q379">
        <v>58.56</v>
      </c>
      <c r="R379" t="s">
        <v>137</v>
      </c>
    </row>
    <row r="380" spans="1:18">
      <c r="A380" t="s">
        <v>193</v>
      </c>
      <c r="B380" t="s">
        <v>258</v>
      </c>
      <c r="C380" t="s">
        <v>259</v>
      </c>
      <c r="D380">
        <v>70.5</v>
      </c>
      <c r="E380">
        <v>0.48</v>
      </c>
      <c r="F380">
        <v>7.09</v>
      </c>
      <c r="M380">
        <v>69.56</v>
      </c>
      <c r="N380">
        <v>68.44</v>
      </c>
      <c r="O380">
        <v>68.04</v>
      </c>
      <c r="P380">
        <v>75.69</v>
      </c>
      <c r="Q380">
        <v>56.9</v>
      </c>
      <c r="R380" t="s">
        <v>137</v>
      </c>
    </row>
    <row r="381" spans="1:18">
      <c r="A381" t="s">
        <v>194</v>
      </c>
      <c r="B381" t="s">
        <v>258</v>
      </c>
      <c r="C381" t="s">
        <v>259</v>
      </c>
      <c r="D381">
        <v>69.25</v>
      </c>
      <c r="E381">
        <v>-1.77</v>
      </c>
      <c r="F381">
        <v>7.72</v>
      </c>
      <c r="M381">
        <v>69.65</v>
      </c>
      <c r="N381">
        <v>68.82</v>
      </c>
      <c r="O381">
        <v>68.19</v>
      </c>
      <c r="P381">
        <v>76.27</v>
      </c>
      <c r="Q381">
        <v>51.87</v>
      </c>
      <c r="R381" t="s">
        <v>137</v>
      </c>
    </row>
    <row r="382" spans="1:18">
      <c r="A382" t="s">
        <v>205</v>
      </c>
      <c r="B382" t="s">
        <v>258</v>
      </c>
      <c r="C382" t="s">
        <v>259</v>
      </c>
      <c r="D382">
        <v>62.33</v>
      </c>
      <c r="E382">
        <v>-9.99</v>
      </c>
      <c r="F382">
        <v>9.43</v>
      </c>
      <c r="M382">
        <v>68.17</v>
      </c>
      <c r="N382">
        <v>68.51</v>
      </c>
      <c r="O382">
        <v>67.99</v>
      </c>
      <c r="P382">
        <v>76.67</v>
      </c>
      <c r="Q382">
        <v>38.27</v>
      </c>
      <c r="R382" t="s">
        <v>238</v>
      </c>
    </row>
    <row r="383" spans="1:18">
      <c r="A383" t="s">
        <v>207</v>
      </c>
      <c r="B383" t="s">
        <v>258</v>
      </c>
      <c r="C383" t="s">
        <v>259</v>
      </c>
      <c r="D383">
        <v>58.5</v>
      </c>
      <c r="E383">
        <v>-6.14</v>
      </c>
      <c r="F383">
        <v>11.39</v>
      </c>
      <c r="M383">
        <v>66.15</v>
      </c>
      <c r="N383">
        <v>67.49</v>
      </c>
      <c r="O383">
        <v>67.54</v>
      </c>
      <c r="P383">
        <v>76.94</v>
      </c>
      <c r="Q383">
        <v>26.7</v>
      </c>
      <c r="R383" t="s">
        <v>261</v>
      </c>
    </row>
    <row r="384" spans="1:18">
      <c r="A384" t="s">
        <v>213</v>
      </c>
      <c r="B384" t="s">
        <v>258</v>
      </c>
      <c r="C384" t="s">
        <v>259</v>
      </c>
      <c r="D384">
        <v>57.07</v>
      </c>
      <c r="E384">
        <v>-2.44</v>
      </c>
      <c r="F384">
        <v>7.05</v>
      </c>
      <c r="M384">
        <v>63.53</v>
      </c>
      <c r="N384">
        <v>66.32</v>
      </c>
      <c r="O384">
        <v>67</v>
      </c>
      <c r="P384">
        <v>77.12</v>
      </c>
      <c r="Q384">
        <v>29.29</v>
      </c>
      <c r="R384" t="s">
        <v>137</v>
      </c>
    </row>
    <row r="385" spans="1:18">
      <c r="A385" t="s">
        <v>215</v>
      </c>
      <c r="B385" t="s">
        <v>258</v>
      </c>
      <c r="C385" t="s">
        <v>259</v>
      </c>
      <c r="D385">
        <v>57.38</v>
      </c>
      <c r="E385">
        <v>0.54</v>
      </c>
      <c r="F385">
        <v>5.09</v>
      </c>
      <c r="M385">
        <v>60.91</v>
      </c>
      <c r="N385">
        <v>65.24</v>
      </c>
      <c r="O385">
        <v>66.5</v>
      </c>
      <c r="P385">
        <v>77.22</v>
      </c>
      <c r="Q385">
        <v>31.6</v>
      </c>
      <c r="R385" t="s">
        <v>137</v>
      </c>
    </row>
    <row r="386" spans="1:18">
      <c r="A386" t="s">
        <v>218</v>
      </c>
      <c r="B386" t="s">
        <v>258</v>
      </c>
      <c r="C386" t="s">
        <v>259</v>
      </c>
      <c r="D386">
        <v>58.38</v>
      </c>
      <c r="E386">
        <v>1.74</v>
      </c>
      <c r="F386">
        <v>5.61</v>
      </c>
      <c r="M386">
        <v>58.73</v>
      </c>
      <c r="N386">
        <v>64.19</v>
      </c>
      <c r="O386">
        <v>66.01</v>
      </c>
      <c r="P386">
        <v>77.26</v>
      </c>
      <c r="Q386">
        <v>34.58</v>
      </c>
      <c r="R386" t="s">
        <v>137</v>
      </c>
    </row>
    <row r="387" spans="1:18">
      <c r="A387" t="s">
        <v>221</v>
      </c>
      <c r="B387" t="s">
        <v>258</v>
      </c>
      <c r="C387" t="s">
        <v>259</v>
      </c>
      <c r="D387">
        <v>61.21</v>
      </c>
      <c r="E387">
        <v>4.85</v>
      </c>
      <c r="F387">
        <v>7.58</v>
      </c>
      <c r="M387">
        <v>58.51</v>
      </c>
      <c r="N387">
        <v>63.34</v>
      </c>
      <c r="O387">
        <v>65.64</v>
      </c>
      <c r="P387">
        <v>77.25</v>
      </c>
      <c r="Q387">
        <v>33.33</v>
      </c>
      <c r="R387" t="s">
        <v>137</v>
      </c>
    </row>
    <row r="388" spans="1:18">
      <c r="A388" t="s">
        <v>224</v>
      </c>
      <c r="B388" t="s">
        <v>258</v>
      </c>
      <c r="C388" t="s">
        <v>259</v>
      </c>
      <c r="D388">
        <v>63.12</v>
      </c>
      <c r="E388">
        <v>3.12</v>
      </c>
      <c r="F388">
        <v>10.03</v>
      </c>
      <c r="M388">
        <v>59.43</v>
      </c>
      <c r="N388">
        <v>62.79</v>
      </c>
      <c r="O388">
        <v>65.41</v>
      </c>
      <c r="P388">
        <v>77.17</v>
      </c>
      <c r="Q388">
        <v>38.47</v>
      </c>
      <c r="R388" t="s">
        <v>137</v>
      </c>
    </row>
    <row r="389" spans="1:18">
      <c r="A389" t="s">
        <v>226</v>
      </c>
      <c r="B389" t="s">
        <v>258</v>
      </c>
      <c r="C389" t="s">
        <v>259</v>
      </c>
      <c r="D389">
        <v>61.24</v>
      </c>
      <c r="E389">
        <v>-2.98</v>
      </c>
      <c r="F389">
        <v>6.99</v>
      </c>
      <c r="M389">
        <v>60.27</v>
      </c>
      <c r="N389">
        <v>61.9</v>
      </c>
      <c r="O389">
        <v>64.97</v>
      </c>
      <c r="P389">
        <v>76.94</v>
      </c>
      <c r="Q389">
        <v>36.37</v>
      </c>
      <c r="R389" t="s">
        <v>137</v>
      </c>
    </row>
    <row r="390" spans="1:18">
      <c r="A390" t="s">
        <v>229</v>
      </c>
      <c r="B390" t="s">
        <v>258</v>
      </c>
      <c r="C390" t="s">
        <v>259</v>
      </c>
      <c r="D390">
        <v>60.48</v>
      </c>
      <c r="E390">
        <v>-1.24</v>
      </c>
      <c r="F390">
        <v>5.07</v>
      </c>
      <c r="M390">
        <v>60.89</v>
      </c>
      <c r="N390">
        <v>60.9</v>
      </c>
      <c r="O390">
        <v>64.67</v>
      </c>
      <c r="P390">
        <v>76.58</v>
      </c>
      <c r="Q390">
        <v>34.01</v>
      </c>
      <c r="R390" t="s">
        <v>137</v>
      </c>
    </row>
    <row r="391" spans="1:18">
      <c r="A391" t="s">
        <v>233</v>
      </c>
      <c r="B391" t="s">
        <v>258</v>
      </c>
      <c r="C391" t="s">
        <v>259</v>
      </c>
      <c r="D391">
        <v>60.37</v>
      </c>
      <c r="E391">
        <v>-0.18</v>
      </c>
      <c r="F391">
        <v>3.96</v>
      </c>
      <c r="M391">
        <v>61.28</v>
      </c>
      <c r="N391">
        <v>60.01</v>
      </c>
      <c r="O391">
        <v>64.42</v>
      </c>
      <c r="P391">
        <v>76.08</v>
      </c>
      <c r="Q391">
        <v>31.43</v>
      </c>
      <c r="R391" t="s">
        <v>137</v>
      </c>
    </row>
    <row r="392" spans="1:18">
      <c r="A392" t="s">
        <v>234</v>
      </c>
      <c r="B392" t="s">
        <v>258</v>
      </c>
      <c r="C392" t="s">
        <v>259</v>
      </c>
      <c r="D392">
        <v>57.08</v>
      </c>
      <c r="E392">
        <v>-5.45</v>
      </c>
      <c r="F392">
        <v>5.24</v>
      </c>
      <c r="M392">
        <v>60.46</v>
      </c>
      <c r="N392">
        <v>59.48</v>
      </c>
      <c r="O392">
        <v>64</v>
      </c>
      <c r="P392">
        <v>75.37</v>
      </c>
      <c r="Q392">
        <v>28.92</v>
      </c>
      <c r="R392" t="s">
        <v>262</v>
      </c>
    </row>
    <row r="393" spans="1:18">
      <c r="A393" t="s">
        <v>240</v>
      </c>
      <c r="B393" t="s">
        <v>258</v>
      </c>
      <c r="C393" t="s">
        <v>259</v>
      </c>
      <c r="D393">
        <v>58.54</v>
      </c>
      <c r="E393">
        <v>2.56</v>
      </c>
      <c r="F393">
        <v>6.87</v>
      </c>
      <c r="M393">
        <v>59.54</v>
      </c>
      <c r="N393">
        <v>59.49</v>
      </c>
      <c r="O393">
        <v>63.49</v>
      </c>
      <c r="P393">
        <v>74.75</v>
      </c>
      <c r="Q393">
        <v>28.73</v>
      </c>
      <c r="R393" t="s">
        <v>137</v>
      </c>
    </row>
    <row r="394" spans="1:18">
      <c r="A394" t="s">
        <v>245</v>
      </c>
      <c r="B394" t="s">
        <v>258</v>
      </c>
      <c r="C394" t="s">
        <v>259</v>
      </c>
      <c r="D394">
        <v>57.72</v>
      </c>
      <c r="E394">
        <v>-1.4</v>
      </c>
      <c r="F394">
        <v>4.23</v>
      </c>
      <c r="M394">
        <v>58.84</v>
      </c>
      <c r="N394">
        <v>59.55</v>
      </c>
      <c r="O394">
        <v>62.94</v>
      </c>
      <c r="P394">
        <v>74.01</v>
      </c>
      <c r="Q394">
        <v>27.01</v>
      </c>
      <c r="R394" t="s">
        <v>137</v>
      </c>
    </row>
    <row r="395" spans="1:18">
      <c r="A395" t="s">
        <v>249</v>
      </c>
      <c r="B395" t="s">
        <v>258</v>
      </c>
      <c r="C395" t="s">
        <v>259</v>
      </c>
      <c r="D395">
        <v>58.92</v>
      </c>
      <c r="E395">
        <v>2.08</v>
      </c>
      <c r="F395">
        <v>5.01</v>
      </c>
      <c r="M395">
        <v>58.53</v>
      </c>
      <c r="N395">
        <v>59.71</v>
      </c>
      <c r="O395">
        <v>62.47</v>
      </c>
      <c r="P395">
        <v>73.15</v>
      </c>
      <c r="Q395">
        <v>31.39</v>
      </c>
      <c r="R395" t="s">
        <v>137</v>
      </c>
    </row>
    <row r="396" spans="1:18">
      <c r="A396" t="s">
        <v>251</v>
      </c>
      <c r="B396" t="s">
        <v>258</v>
      </c>
      <c r="C396" t="s">
        <v>259</v>
      </c>
      <c r="D396">
        <v>54.58</v>
      </c>
      <c r="E396">
        <v>-7.37</v>
      </c>
      <c r="F396">
        <v>7.69</v>
      </c>
      <c r="M396">
        <v>57.37</v>
      </c>
      <c r="N396">
        <v>59.33</v>
      </c>
      <c r="O396">
        <v>61.76</v>
      </c>
      <c r="P396">
        <v>72.12</v>
      </c>
      <c r="Q396">
        <v>34.6</v>
      </c>
      <c r="R396" t="s">
        <v>263</v>
      </c>
    </row>
    <row r="397" spans="1:18">
      <c r="A397" t="s">
        <v>253</v>
      </c>
      <c r="B397" t="s">
        <v>258</v>
      </c>
      <c r="C397" t="s">
        <v>259</v>
      </c>
      <c r="D397">
        <v>60.04</v>
      </c>
      <c r="E397">
        <v>10</v>
      </c>
      <c r="F397">
        <v>10.93</v>
      </c>
      <c r="M397">
        <v>57.96</v>
      </c>
      <c r="N397">
        <v>59.21</v>
      </c>
      <c r="O397">
        <v>61.28</v>
      </c>
      <c r="P397">
        <v>71.37</v>
      </c>
      <c r="Q397">
        <v>52.87</v>
      </c>
      <c r="R397" t="s">
        <v>220</v>
      </c>
    </row>
    <row r="398" spans="1:18">
      <c r="A398" t="s">
        <v>264</v>
      </c>
      <c r="B398" t="s">
        <v>97</v>
      </c>
      <c r="C398" t="s">
        <v>96</v>
      </c>
      <c r="D398">
        <v>23.74</v>
      </c>
      <c r="E398">
        <v>-0.25</v>
      </c>
      <c r="F398">
        <v>12.2</v>
      </c>
      <c r="M398">
        <v>23.02</v>
      </c>
      <c r="N398">
        <v>23.28</v>
      </c>
      <c r="O398">
        <v>23.36</v>
      </c>
      <c r="P398">
        <v>22.17</v>
      </c>
      <c r="Q398">
        <v>40.36</v>
      </c>
      <c r="R398" t="s">
        <v>137</v>
      </c>
    </row>
    <row r="399" spans="1:18">
      <c r="A399" t="s">
        <v>265</v>
      </c>
      <c r="B399" t="s">
        <v>97</v>
      </c>
      <c r="C399" t="s">
        <v>96</v>
      </c>
      <c r="D399">
        <v>22.97</v>
      </c>
      <c r="E399">
        <v>-3.24</v>
      </c>
      <c r="F399">
        <v>9.78</v>
      </c>
      <c r="M399">
        <v>23.19</v>
      </c>
      <c r="N399">
        <v>23.14</v>
      </c>
      <c r="O399">
        <v>23.46</v>
      </c>
      <c r="P399">
        <v>22.35</v>
      </c>
      <c r="Q399">
        <v>37.86</v>
      </c>
      <c r="R399" t="s">
        <v>266</v>
      </c>
    </row>
    <row r="400" spans="1:18">
      <c r="A400" t="s">
        <v>267</v>
      </c>
      <c r="B400" t="s">
        <v>97</v>
      </c>
      <c r="C400" t="s">
        <v>96</v>
      </c>
      <c r="D400">
        <v>21.33</v>
      </c>
      <c r="E400">
        <v>-7.14</v>
      </c>
      <c r="F400">
        <v>11.48</v>
      </c>
      <c r="M400">
        <v>22.9</v>
      </c>
      <c r="N400">
        <v>22.9</v>
      </c>
      <c r="O400">
        <v>23.48</v>
      </c>
      <c r="P400">
        <v>22.49</v>
      </c>
      <c r="Q400">
        <v>35.13</v>
      </c>
      <c r="R400" t="s">
        <v>268</v>
      </c>
    </row>
    <row r="401" spans="1:18">
      <c r="A401" t="s">
        <v>130</v>
      </c>
      <c r="B401" t="s">
        <v>97</v>
      </c>
      <c r="C401" t="s">
        <v>96</v>
      </c>
      <c r="D401">
        <v>19.61</v>
      </c>
      <c r="E401">
        <v>-8.06</v>
      </c>
      <c r="F401">
        <v>10.49</v>
      </c>
      <c r="M401">
        <v>22.29</v>
      </c>
      <c r="N401">
        <v>22.53</v>
      </c>
      <c r="O401">
        <v>23.32</v>
      </c>
      <c r="P401">
        <v>22.57</v>
      </c>
      <c r="Q401">
        <v>30.36</v>
      </c>
      <c r="R401" t="s">
        <v>269</v>
      </c>
    </row>
    <row r="402" spans="1:18">
      <c r="A402" t="s">
        <v>142</v>
      </c>
      <c r="B402" t="s">
        <v>97</v>
      </c>
      <c r="C402" t="s">
        <v>96</v>
      </c>
      <c r="D402">
        <v>19.61</v>
      </c>
      <c r="E402">
        <v>0</v>
      </c>
      <c r="F402">
        <v>8.13</v>
      </c>
      <c r="M402">
        <v>21.45</v>
      </c>
      <c r="N402">
        <v>22.18</v>
      </c>
      <c r="O402">
        <v>23.09</v>
      </c>
      <c r="P402">
        <v>22.64</v>
      </c>
      <c r="Q402">
        <v>31.01</v>
      </c>
      <c r="R402" t="s">
        <v>137</v>
      </c>
    </row>
    <row r="403" spans="1:18">
      <c r="A403" t="s">
        <v>147</v>
      </c>
      <c r="B403" t="s">
        <v>97</v>
      </c>
      <c r="C403" t="s">
        <v>96</v>
      </c>
      <c r="D403">
        <v>19.89</v>
      </c>
      <c r="E403">
        <v>1.43</v>
      </c>
      <c r="F403">
        <v>7.11</v>
      </c>
      <c r="M403">
        <v>20.68</v>
      </c>
      <c r="N403">
        <v>21.85</v>
      </c>
      <c r="O403">
        <v>22.83</v>
      </c>
      <c r="P403">
        <v>22.68</v>
      </c>
      <c r="Q403">
        <v>24.19</v>
      </c>
      <c r="R403" t="s">
        <v>137</v>
      </c>
    </row>
    <row r="404" spans="1:18">
      <c r="A404" t="s">
        <v>148</v>
      </c>
      <c r="B404" t="s">
        <v>97</v>
      </c>
      <c r="C404" t="s">
        <v>96</v>
      </c>
      <c r="D404">
        <v>19.06</v>
      </c>
      <c r="E404">
        <v>-4.17</v>
      </c>
      <c r="F404">
        <v>5.9</v>
      </c>
      <c r="M404">
        <v>19.9</v>
      </c>
      <c r="N404">
        <v>21.54</v>
      </c>
      <c r="O404">
        <v>22.53</v>
      </c>
      <c r="P404">
        <v>22.68</v>
      </c>
      <c r="Q404">
        <v>23.56</v>
      </c>
      <c r="R404" t="s">
        <v>270</v>
      </c>
    </row>
    <row r="405" spans="1:18">
      <c r="A405" t="s">
        <v>151</v>
      </c>
      <c r="B405" t="s">
        <v>97</v>
      </c>
      <c r="C405" t="s">
        <v>96</v>
      </c>
      <c r="D405">
        <v>19.25</v>
      </c>
      <c r="E405">
        <v>1</v>
      </c>
      <c r="F405">
        <v>5.26</v>
      </c>
      <c r="M405">
        <v>19.48</v>
      </c>
      <c r="N405">
        <v>21.19</v>
      </c>
      <c r="O405">
        <v>22.25</v>
      </c>
      <c r="P405">
        <v>22.7</v>
      </c>
      <c r="Q405">
        <v>26.3</v>
      </c>
      <c r="R405" t="s">
        <v>137</v>
      </c>
    </row>
    <row r="406" spans="1:18">
      <c r="A406" t="s">
        <v>154</v>
      </c>
      <c r="B406" t="s">
        <v>97</v>
      </c>
      <c r="C406" t="s">
        <v>96</v>
      </c>
      <c r="D406">
        <v>19.34</v>
      </c>
      <c r="E406">
        <v>0.47</v>
      </c>
      <c r="F406">
        <v>4.79</v>
      </c>
      <c r="M406">
        <v>19.43</v>
      </c>
      <c r="N406">
        <v>20.86</v>
      </c>
      <c r="O406">
        <v>22.02</v>
      </c>
      <c r="P406">
        <v>22.68</v>
      </c>
      <c r="Q406">
        <v>27.8</v>
      </c>
      <c r="R406" t="s">
        <v>137</v>
      </c>
    </row>
    <row r="407" spans="1:18">
      <c r="A407" t="s">
        <v>157</v>
      </c>
      <c r="B407" t="s">
        <v>97</v>
      </c>
      <c r="C407" t="s">
        <v>96</v>
      </c>
      <c r="D407">
        <v>20.15</v>
      </c>
      <c r="E407">
        <v>4.19</v>
      </c>
      <c r="F407">
        <v>14.66</v>
      </c>
      <c r="M407">
        <v>19.54</v>
      </c>
      <c r="N407">
        <v>20.49</v>
      </c>
      <c r="O407">
        <v>21.86</v>
      </c>
      <c r="P407">
        <v>22.66</v>
      </c>
      <c r="Q407">
        <v>33.59</v>
      </c>
      <c r="R407" t="s">
        <v>137</v>
      </c>
    </row>
    <row r="408" spans="1:18">
      <c r="A408" t="s">
        <v>160</v>
      </c>
      <c r="B408" t="s">
        <v>97</v>
      </c>
      <c r="C408" t="s">
        <v>96</v>
      </c>
      <c r="D408">
        <v>19.53</v>
      </c>
      <c r="E408">
        <v>-3.08</v>
      </c>
      <c r="F408">
        <v>9.91</v>
      </c>
      <c r="M408">
        <v>19.47</v>
      </c>
      <c r="N408">
        <v>20.07</v>
      </c>
      <c r="O408">
        <v>21.68</v>
      </c>
      <c r="P408">
        <v>22.6</v>
      </c>
      <c r="Q408">
        <v>35.19</v>
      </c>
      <c r="R408" t="s">
        <v>271</v>
      </c>
    </row>
    <row r="409" spans="1:18">
      <c r="A409" t="s">
        <v>162</v>
      </c>
      <c r="B409" t="s">
        <v>97</v>
      </c>
      <c r="C409" t="s">
        <v>96</v>
      </c>
      <c r="D409">
        <v>19.51</v>
      </c>
      <c r="E409">
        <v>-0.1</v>
      </c>
      <c r="F409">
        <v>8.62</v>
      </c>
      <c r="M409">
        <v>19.56</v>
      </c>
      <c r="N409">
        <v>19.73</v>
      </c>
      <c r="O409">
        <v>21.44</v>
      </c>
      <c r="P409">
        <v>22.52</v>
      </c>
      <c r="Q409">
        <v>30.29</v>
      </c>
      <c r="R409" t="s">
        <v>137</v>
      </c>
    </row>
    <row r="410" spans="1:18">
      <c r="A410" t="s">
        <v>166</v>
      </c>
      <c r="B410" t="s">
        <v>97</v>
      </c>
      <c r="C410" t="s">
        <v>96</v>
      </c>
      <c r="D410">
        <v>18.58</v>
      </c>
      <c r="E410">
        <v>-4.77</v>
      </c>
      <c r="F410">
        <v>6.18</v>
      </c>
      <c r="M410">
        <v>19.42</v>
      </c>
      <c r="N410">
        <v>19.45</v>
      </c>
      <c r="O410">
        <v>21.18</v>
      </c>
      <c r="P410">
        <v>22.46</v>
      </c>
      <c r="Q410">
        <v>27.42</v>
      </c>
      <c r="R410" t="s">
        <v>272</v>
      </c>
    </row>
    <row r="411" spans="1:18">
      <c r="A411" t="s">
        <v>170</v>
      </c>
      <c r="B411" t="s">
        <v>97</v>
      </c>
      <c r="C411" t="s">
        <v>96</v>
      </c>
      <c r="D411">
        <v>18.23</v>
      </c>
      <c r="E411">
        <v>-1.88</v>
      </c>
      <c r="F411">
        <v>6.46</v>
      </c>
      <c r="M411">
        <v>19.2</v>
      </c>
      <c r="N411">
        <v>19.32</v>
      </c>
      <c r="O411">
        <v>20.92</v>
      </c>
      <c r="P411">
        <v>22.42</v>
      </c>
      <c r="Q411">
        <v>16.49</v>
      </c>
      <c r="R411" t="s">
        <v>273</v>
      </c>
    </row>
    <row r="412" spans="1:18">
      <c r="A412" t="s">
        <v>173</v>
      </c>
      <c r="B412" t="s">
        <v>97</v>
      </c>
      <c r="C412" t="s">
        <v>96</v>
      </c>
      <c r="D412">
        <v>19.45</v>
      </c>
      <c r="E412">
        <v>6.69</v>
      </c>
      <c r="F412">
        <v>8.38</v>
      </c>
      <c r="M412">
        <v>19.06</v>
      </c>
      <c r="N412">
        <v>19.3</v>
      </c>
      <c r="O412">
        <v>20.74</v>
      </c>
      <c r="P412">
        <v>22.38</v>
      </c>
      <c r="Q412">
        <v>27.35</v>
      </c>
      <c r="R412" t="s">
        <v>274</v>
      </c>
    </row>
    <row r="413" spans="1:18">
      <c r="A413" t="s">
        <v>179</v>
      </c>
      <c r="B413" t="s">
        <v>97</v>
      </c>
      <c r="C413" t="s">
        <v>96</v>
      </c>
      <c r="D413">
        <v>19.17</v>
      </c>
      <c r="E413">
        <v>-1.44</v>
      </c>
      <c r="F413">
        <v>4.45</v>
      </c>
      <c r="M413">
        <v>18.99</v>
      </c>
      <c r="N413">
        <v>19.23</v>
      </c>
      <c r="O413">
        <v>20.54</v>
      </c>
      <c r="P413">
        <v>22.3</v>
      </c>
      <c r="Q413">
        <v>28.84</v>
      </c>
      <c r="R413" t="s">
        <v>137</v>
      </c>
    </row>
    <row r="414" spans="1:18">
      <c r="A414" t="s">
        <v>183</v>
      </c>
      <c r="B414" t="s">
        <v>97</v>
      </c>
      <c r="C414" t="s">
        <v>96</v>
      </c>
      <c r="D414">
        <v>19.39</v>
      </c>
      <c r="E414">
        <v>1.15</v>
      </c>
      <c r="F414">
        <v>4.79</v>
      </c>
      <c r="M414">
        <v>18.96</v>
      </c>
      <c r="N414">
        <v>19.26</v>
      </c>
      <c r="O414">
        <v>20.4</v>
      </c>
      <c r="P414">
        <v>22.21</v>
      </c>
      <c r="Q414">
        <v>37.17</v>
      </c>
      <c r="R414" t="s">
        <v>137</v>
      </c>
    </row>
    <row r="415" spans="1:18">
      <c r="A415" t="s">
        <v>185</v>
      </c>
      <c r="B415" t="s">
        <v>97</v>
      </c>
      <c r="C415" t="s">
        <v>96</v>
      </c>
      <c r="D415">
        <v>19.33</v>
      </c>
      <c r="E415">
        <v>-0.31</v>
      </c>
      <c r="F415">
        <v>3.23</v>
      </c>
      <c r="M415">
        <v>19.11</v>
      </c>
      <c r="N415">
        <v>19.27</v>
      </c>
      <c r="O415">
        <v>20.23</v>
      </c>
      <c r="P415">
        <v>22.09</v>
      </c>
      <c r="Q415">
        <v>47.63</v>
      </c>
      <c r="R415" t="s">
        <v>137</v>
      </c>
    </row>
    <row r="416" spans="1:18">
      <c r="A416" t="s">
        <v>188</v>
      </c>
      <c r="B416" t="s">
        <v>97</v>
      </c>
      <c r="C416" t="s">
        <v>96</v>
      </c>
      <c r="D416">
        <v>19.5</v>
      </c>
      <c r="E416">
        <v>0.88</v>
      </c>
      <c r="F416">
        <v>4.09</v>
      </c>
      <c r="M416">
        <v>19.37</v>
      </c>
      <c r="N416">
        <v>19.28</v>
      </c>
      <c r="O416">
        <v>20.07</v>
      </c>
      <c r="P416">
        <v>21.99</v>
      </c>
      <c r="Q416">
        <v>49.09</v>
      </c>
      <c r="R416" t="s">
        <v>137</v>
      </c>
    </row>
    <row r="417" spans="1:18">
      <c r="A417" t="s">
        <v>190</v>
      </c>
      <c r="B417" t="s">
        <v>97</v>
      </c>
      <c r="C417" t="s">
        <v>96</v>
      </c>
      <c r="D417">
        <v>19.33</v>
      </c>
      <c r="E417">
        <v>-0.87</v>
      </c>
      <c r="F417">
        <v>4.65</v>
      </c>
      <c r="M417">
        <v>19.34</v>
      </c>
      <c r="N417">
        <v>19.2</v>
      </c>
      <c r="O417">
        <v>19.85</v>
      </c>
      <c r="P417">
        <v>21.88</v>
      </c>
      <c r="Q417">
        <v>45.3</v>
      </c>
      <c r="R417" t="s">
        <v>137</v>
      </c>
    </row>
    <row r="418" spans="1:18">
      <c r="A418" t="s">
        <v>192</v>
      </c>
      <c r="B418" t="s">
        <v>97</v>
      </c>
      <c r="C418" t="s">
        <v>96</v>
      </c>
      <c r="D418">
        <v>20.28</v>
      </c>
      <c r="E418">
        <v>4.91</v>
      </c>
      <c r="F418">
        <v>14.06</v>
      </c>
      <c r="M418">
        <v>19.57</v>
      </c>
      <c r="N418">
        <v>19.28</v>
      </c>
      <c r="O418">
        <v>19.68</v>
      </c>
      <c r="P418">
        <v>21.76</v>
      </c>
      <c r="Q418">
        <v>60.03</v>
      </c>
      <c r="R418" t="s">
        <v>137</v>
      </c>
    </row>
    <row r="419" spans="1:18">
      <c r="A419" t="s">
        <v>193</v>
      </c>
      <c r="B419" t="s">
        <v>97</v>
      </c>
      <c r="C419" t="s">
        <v>96</v>
      </c>
      <c r="D419">
        <v>20.16</v>
      </c>
      <c r="E419">
        <v>-0.59</v>
      </c>
      <c r="F419">
        <v>7.72</v>
      </c>
      <c r="M419">
        <v>19.72</v>
      </c>
      <c r="N419">
        <v>19.34</v>
      </c>
      <c r="O419">
        <v>19.54</v>
      </c>
      <c r="P419">
        <v>21.66</v>
      </c>
      <c r="Q419">
        <v>57.57</v>
      </c>
      <c r="R419" t="s">
        <v>137</v>
      </c>
    </row>
    <row r="420" spans="1:18">
      <c r="A420" t="s">
        <v>194</v>
      </c>
      <c r="B420" t="s">
        <v>97</v>
      </c>
      <c r="C420" t="s">
        <v>96</v>
      </c>
      <c r="D420">
        <v>20.43</v>
      </c>
      <c r="E420">
        <v>1.34</v>
      </c>
      <c r="F420">
        <v>7.03</v>
      </c>
      <c r="M420">
        <v>19.94</v>
      </c>
      <c r="N420">
        <v>19.53</v>
      </c>
      <c r="O420">
        <v>19.49</v>
      </c>
      <c r="P420">
        <v>21.57</v>
      </c>
      <c r="Q420">
        <v>58.8</v>
      </c>
      <c r="R420" t="s">
        <v>137</v>
      </c>
    </row>
    <row r="421" spans="1:18">
      <c r="A421" t="s">
        <v>197</v>
      </c>
      <c r="B421" t="s">
        <v>97</v>
      </c>
      <c r="C421" t="s">
        <v>96</v>
      </c>
      <c r="D421">
        <v>20.67</v>
      </c>
      <c r="E421">
        <v>1.17</v>
      </c>
      <c r="F421">
        <v>7.47</v>
      </c>
      <c r="M421">
        <v>20.17</v>
      </c>
      <c r="N421">
        <v>19.77</v>
      </c>
      <c r="O421">
        <v>19.54</v>
      </c>
      <c r="P421">
        <v>21.53</v>
      </c>
      <c r="Q421">
        <v>54.63</v>
      </c>
      <c r="R421" t="s">
        <v>137</v>
      </c>
    </row>
    <row r="422" spans="1:18">
      <c r="A422" t="s">
        <v>199</v>
      </c>
      <c r="B422" t="s">
        <v>97</v>
      </c>
      <c r="C422" t="s">
        <v>96</v>
      </c>
      <c r="D422">
        <v>20.58</v>
      </c>
      <c r="E422">
        <v>-0.44</v>
      </c>
      <c r="F422">
        <v>5.94</v>
      </c>
      <c r="M422">
        <v>20.42</v>
      </c>
      <c r="N422">
        <v>19.88</v>
      </c>
      <c r="O422">
        <v>19.59</v>
      </c>
      <c r="P422">
        <v>21.48</v>
      </c>
      <c r="Q422">
        <v>60.31</v>
      </c>
      <c r="R422" t="s">
        <v>137</v>
      </c>
    </row>
    <row r="423" spans="1:18">
      <c r="A423" t="s">
        <v>201</v>
      </c>
      <c r="B423" t="s">
        <v>97</v>
      </c>
      <c r="C423" t="s">
        <v>96</v>
      </c>
      <c r="D423">
        <v>21.34</v>
      </c>
      <c r="E423">
        <v>3.69</v>
      </c>
      <c r="F423">
        <v>16.82</v>
      </c>
      <c r="M423">
        <v>20.64</v>
      </c>
      <c r="N423">
        <v>20.1</v>
      </c>
      <c r="O423">
        <v>19.66</v>
      </c>
      <c r="P423">
        <v>21.45</v>
      </c>
      <c r="Q423">
        <v>65.69</v>
      </c>
      <c r="R423" t="s">
        <v>137</v>
      </c>
    </row>
    <row r="424" spans="1:18">
      <c r="A424" t="s">
        <v>204</v>
      </c>
      <c r="B424" t="s">
        <v>97</v>
      </c>
      <c r="C424" t="s">
        <v>96</v>
      </c>
      <c r="D424">
        <v>20.62</v>
      </c>
      <c r="E424">
        <v>-3.37</v>
      </c>
      <c r="F424">
        <v>9.94</v>
      </c>
      <c r="M424">
        <v>20.73</v>
      </c>
      <c r="N424">
        <v>20.22</v>
      </c>
      <c r="O424">
        <v>19.74</v>
      </c>
      <c r="P424">
        <v>21.42</v>
      </c>
      <c r="Q424">
        <v>68.15</v>
      </c>
      <c r="R424" t="s">
        <v>275</v>
      </c>
    </row>
    <row r="425" spans="1:18">
      <c r="A425" t="s">
        <v>205</v>
      </c>
      <c r="B425" t="s">
        <v>97</v>
      </c>
      <c r="C425" t="s">
        <v>96</v>
      </c>
      <c r="D425">
        <v>19.78</v>
      </c>
      <c r="E425">
        <v>-4.07</v>
      </c>
      <c r="F425">
        <v>10.57</v>
      </c>
      <c r="M425">
        <v>20.6</v>
      </c>
      <c r="N425">
        <v>20.27</v>
      </c>
      <c r="O425">
        <v>19.77</v>
      </c>
      <c r="P425">
        <v>21.37</v>
      </c>
      <c r="Q425">
        <v>62.68</v>
      </c>
      <c r="R425" t="s">
        <v>276</v>
      </c>
    </row>
    <row r="426" spans="1:18">
      <c r="A426" t="s">
        <v>207</v>
      </c>
      <c r="B426" t="s">
        <v>97</v>
      </c>
      <c r="C426" t="s">
        <v>96</v>
      </c>
      <c r="D426">
        <v>17.8</v>
      </c>
      <c r="E426">
        <v>-10.01</v>
      </c>
      <c r="F426">
        <v>7.61</v>
      </c>
      <c r="M426">
        <v>20.02</v>
      </c>
      <c r="N426">
        <v>20.1</v>
      </c>
      <c r="O426">
        <v>19.69</v>
      </c>
      <c r="P426">
        <v>21.27</v>
      </c>
      <c r="Q426">
        <v>37.99</v>
      </c>
      <c r="R426" t="s">
        <v>277</v>
      </c>
    </row>
    <row r="427" spans="1:18">
      <c r="A427" t="s">
        <v>213</v>
      </c>
      <c r="B427" t="s">
        <v>97</v>
      </c>
      <c r="C427" t="s">
        <v>96</v>
      </c>
      <c r="D427">
        <v>17.39</v>
      </c>
      <c r="E427">
        <v>-2.3</v>
      </c>
      <c r="F427">
        <v>6.75</v>
      </c>
      <c r="M427">
        <v>19.39</v>
      </c>
      <c r="N427">
        <v>19.9</v>
      </c>
      <c r="O427">
        <v>19.55</v>
      </c>
      <c r="P427">
        <v>21.19</v>
      </c>
      <c r="Q427">
        <v>37.29</v>
      </c>
      <c r="R427" t="s">
        <v>273</v>
      </c>
    </row>
    <row r="428" spans="1:18">
      <c r="A428" t="s">
        <v>215</v>
      </c>
      <c r="B428" t="s">
        <v>97</v>
      </c>
      <c r="C428" t="s">
        <v>96</v>
      </c>
      <c r="D428">
        <v>17.03</v>
      </c>
      <c r="E428">
        <v>-2.07</v>
      </c>
      <c r="F428">
        <v>5.26</v>
      </c>
      <c r="M428">
        <v>18.52</v>
      </c>
      <c r="N428">
        <v>19.58</v>
      </c>
      <c r="O428">
        <v>19.43</v>
      </c>
      <c r="P428">
        <v>21.1</v>
      </c>
      <c r="Q428">
        <v>33.47</v>
      </c>
      <c r="R428" t="s">
        <v>273</v>
      </c>
    </row>
    <row r="429" spans="1:18">
      <c r="A429" t="s">
        <v>218</v>
      </c>
      <c r="B429" t="s">
        <v>97</v>
      </c>
      <c r="C429" t="s">
        <v>96</v>
      </c>
      <c r="D429">
        <v>17.63</v>
      </c>
      <c r="E429">
        <v>3.52</v>
      </c>
      <c r="F429">
        <v>6.35</v>
      </c>
      <c r="M429">
        <v>17.93</v>
      </c>
      <c r="N429">
        <v>19.33</v>
      </c>
      <c r="O429">
        <v>19.33</v>
      </c>
      <c r="P429">
        <v>21.04</v>
      </c>
      <c r="Q429">
        <v>38.93</v>
      </c>
      <c r="R429" t="s">
        <v>273</v>
      </c>
    </row>
    <row r="430" spans="1:18">
      <c r="A430" t="s">
        <v>221</v>
      </c>
      <c r="B430" t="s">
        <v>97</v>
      </c>
      <c r="C430" t="s">
        <v>96</v>
      </c>
      <c r="D430">
        <v>18.54</v>
      </c>
      <c r="E430">
        <v>5.16</v>
      </c>
      <c r="F430">
        <v>7.62</v>
      </c>
      <c r="M430">
        <v>17.68</v>
      </c>
      <c r="N430">
        <v>19.14</v>
      </c>
      <c r="O430">
        <v>19.33</v>
      </c>
      <c r="P430">
        <v>21.01</v>
      </c>
      <c r="Q430">
        <v>44.3</v>
      </c>
      <c r="R430" t="s">
        <v>278</v>
      </c>
    </row>
    <row r="431" spans="1:18">
      <c r="A431" t="s">
        <v>224</v>
      </c>
      <c r="B431" t="s">
        <v>97</v>
      </c>
      <c r="C431" t="s">
        <v>96</v>
      </c>
      <c r="D431">
        <v>18.68</v>
      </c>
      <c r="E431">
        <v>0.76</v>
      </c>
      <c r="F431">
        <v>6.17</v>
      </c>
      <c r="M431">
        <v>17.85</v>
      </c>
      <c r="N431">
        <v>18.94</v>
      </c>
      <c r="O431">
        <v>19.36</v>
      </c>
      <c r="P431">
        <v>20.98</v>
      </c>
      <c r="Q431">
        <v>46.13</v>
      </c>
      <c r="R431" t="s">
        <v>279</v>
      </c>
    </row>
    <row r="432" spans="1:18">
      <c r="A432" t="s">
        <v>226</v>
      </c>
      <c r="B432" t="s">
        <v>97</v>
      </c>
      <c r="C432" t="s">
        <v>96</v>
      </c>
      <c r="D432">
        <v>18.29</v>
      </c>
      <c r="E432">
        <v>-2.09</v>
      </c>
      <c r="F432">
        <v>6.32</v>
      </c>
      <c r="M432">
        <v>18.03</v>
      </c>
      <c r="N432">
        <v>18.71</v>
      </c>
      <c r="O432">
        <v>19.3</v>
      </c>
      <c r="P432">
        <v>20.95</v>
      </c>
      <c r="Q432">
        <v>37.29</v>
      </c>
      <c r="R432" t="s">
        <v>273</v>
      </c>
    </row>
    <row r="433" spans="1:18">
      <c r="A433" t="s">
        <v>229</v>
      </c>
      <c r="B433" t="s">
        <v>97</v>
      </c>
      <c r="C433" t="s">
        <v>96</v>
      </c>
      <c r="D433">
        <v>18.23</v>
      </c>
      <c r="E433">
        <v>-0.33</v>
      </c>
      <c r="F433">
        <v>6.68</v>
      </c>
      <c r="M433">
        <v>18.27</v>
      </c>
      <c r="N433">
        <v>18.4</v>
      </c>
      <c r="O433">
        <v>19.25</v>
      </c>
      <c r="P433">
        <v>20.9</v>
      </c>
      <c r="Q433">
        <v>37.58</v>
      </c>
      <c r="R433" t="s">
        <v>273</v>
      </c>
    </row>
    <row r="434" spans="1:18">
      <c r="A434" t="s">
        <v>233</v>
      </c>
      <c r="B434" t="s">
        <v>97</v>
      </c>
      <c r="C434" t="s">
        <v>96</v>
      </c>
      <c r="D434">
        <v>20.05</v>
      </c>
      <c r="E434">
        <v>9.98</v>
      </c>
      <c r="F434">
        <v>11.52</v>
      </c>
      <c r="M434">
        <v>18.76</v>
      </c>
      <c r="N434">
        <v>18.34</v>
      </c>
      <c r="O434">
        <v>19.28</v>
      </c>
      <c r="P434">
        <v>20.88</v>
      </c>
      <c r="Q434">
        <v>47.96</v>
      </c>
      <c r="R434" t="s">
        <v>220</v>
      </c>
    </row>
    <row r="435" spans="1:18">
      <c r="A435" t="s">
        <v>234</v>
      </c>
      <c r="B435" t="s">
        <v>97</v>
      </c>
      <c r="C435" t="s">
        <v>96</v>
      </c>
      <c r="D435">
        <v>18.92</v>
      </c>
      <c r="E435">
        <v>-5.64</v>
      </c>
      <c r="F435">
        <v>10.6</v>
      </c>
      <c r="M435">
        <v>18.83</v>
      </c>
      <c r="N435">
        <v>18.26</v>
      </c>
      <c r="O435">
        <v>19.26</v>
      </c>
      <c r="P435">
        <v>20.85</v>
      </c>
      <c r="Q435">
        <v>41.43</v>
      </c>
      <c r="R435" t="s">
        <v>280</v>
      </c>
    </row>
    <row r="436" spans="1:18">
      <c r="A436" t="s">
        <v>240</v>
      </c>
      <c r="B436" t="s">
        <v>97</v>
      </c>
      <c r="C436" t="s">
        <v>96</v>
      </c>
      <c r="D436">
        <v>19</v>
      </c>
      <c r="E436">
        <v>0.42</v>
      </c>
      <c r="F436">
        <v>10.06</v>
      </c>
      <c r="M436">
        <v>18.9</v>
      </c>
      <c r="N436">
        <v>18.38</v>
      </c>
      <c r="O436">
        <v>19.24</v>
      </c>
      <c r="P436">
        <v>20.81</v>
      </c>
      <c r="Q436">
        <v>42.25</v>
      </c>
      <c r="R436" t="s">
        <v>152</v>
      </c>
    </row>
    <row r="437" spans="1:18">
      <c r="A437" t="s">
        <v>245</v>
      </c>
      <c r="B437" t="s">
        <v>97</v>
      </c>
      <c r="C437" t="s">
        <v>96</v>
      </c>
      <c r="D437">
        <v>18.81</v>
      </c>
      <c r="E437">
        <v>-1</v>
      </c>
      <c r="F437">
        <v>7.29</v>
      </c>
      <c r="M437">
        <v>19</v>
      </c>
      <c r="N437">
        <v>18.52</v>
      </c>
      <c r="O437">
        <v>19.21</v>
      </c>
      <c r="P437">
        <v>20.76</v>
      </c>
      <c r="Q437">
        <v>36.86</v>
      </c>
      <c r="R437" t="s">
        <v>281</v>
      </c>
    </row>
    <row r="438" spans="1:18">
      <c r="A438" t="s">
        <v>249</v>
      </c>
      <c r="B438" t="s">
        <v>97</v>
      </c>
      <c r="C438" t="s">
        <v>96</v>
      </c>
      <c r="D438">
        <v>18.96</v>
      </c>
      <c r="E438">
        <v>0.8</v>
      </c>
      <c r="F438">
        <v>8.04</v>
      </c>
      <c r="M438">
        <v>19.15</v>
      </c>
      <c r="N438">
        <v>18.71</v>
      </c>
      <c r="O438">
        <v>19.15</v>
      </c>
      <c r="P438">
        <v>20.73</v>
      </c>
      <c r="Q438">
        <v>40.84</v>
      </c>
      <c r="R438" t="s">
        <v>282</v>
      </c>
    </row>
    <row r="439" spans="1:18">
      <c r="A439" t="s">
        <v>251</v>
      </c>
      <c r="B439" t="s">
        <v>97</v>
      </c>
      <c r="C439" t="s">
        <v>96</v>
      </c>
      <c r="D439">
        <v>18.11</v>
      </c>
      <c r="E439">
        <v>-4.48</v>
      </c>
      <c r="F439">
        <v>9.49</v>
      </c>
      <c r="M439">
        <v>18.76</v>
      </c>
      <c r="N439">
        <v>18.76</v>
      </c>
      <c r="O439">
        <v>19.04</v>
      </c>
      <c r="P439">
        <v>20.68</v>
      </c>
      <c r="Q439">
        <v>40.79</v>
      </c>
      <c r="R439" t="s">
        <v>283</v>
      </c>
    </row>
    <row r="440" spans="1:18">
      <c r="A440" t="s">
        <v>253</v>
      </c>
      <c r="B440" t="s">
        <v>97</v>
      </c>
      <c r="C440" t="s">
        <v>96</v>
      </c>
      <c r="D440">
        <v>19.92</v>
      </c>
      <c r="E440">
        <v>9.99</v>
      </c>
      <c r="F440">
        <v>13.49</v>
      </c>
      <c r="M440">
        <v>18.96</v>
      </c>
      <c r="N440">
        <v>18.9</v>
      </c>
      <c r="O440">
        <v>19.02</v>
      </c>
      <c r="P440">
        <v>20.66</v>
      </c>
      <c r="Q440">
        <v>61.91</v>
      </c>
      <c r="R440" t="s">
        <v>220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6796875" defaultRowHeight="16.8" outlineLevelRow="1"/>
  <cols>
    <col min="1" max="1" width="12" customWidth="1"/>
    <col min="2" max="2" width="14" customWidth="1"/>
    <col min="3" max="6" width="10" customWidth="1"/>
    <col min="7" max="7" width="14" customWidth="1"/>
    <col min="8" max="9" width="12" customWidth="1"/>
    <col min="10" max="10" width="25" customWidth="1"/>
    <col min="11" max="11" width="15" customWidth="1"/>
    <col min="12" max="12" width="25" customWidth="1"/>
  </cols>
  <sheetData>
    <row r="1" spans="1:12">
      <c r="A1" s="1" t="s">
        <v>284</v>
      </c>
      <c r="B1" s="1" t="s">
        <v>48</v>
      </c>
      <c r="C1" s="1" t="s">
        <v>49</v>
      </c>
      <c r="D1" s="1" t="s">
        <v>285</v>
      </c>
      <c r="E1" s="1" t="s">
        <v>286</v>
      </c>
      <c r="F1" s="1" t="s">
        <v>287</v>
      </c>
      <c r="G1" s="1" t="s">
        <v>288</v>
      </c>
      <c r="H1" s="1" t="s">
        <v>289</v>
      </c>
      <c r="I1" s="1" t="s">
        <v>290</v>
      </c>
      <c r="J1" s="1" t="s">
        <v>291</v>
      </c>
      <c r="K1" s="1" t="s">
        <v>292</v>
      </c>
      <c r="L1" s="1" t="s">
        <v>293</v>
      </c>
    </row>
    <row r="2" spans="1:12">
      <c r="A2" s="2" t="s">
        <v>294</v>
      </c>
      <c r="B2" s="2" t="s">
        <v>68</v>
      </c>
      <c r="C2" s="3" t="s">
        <v>69</v>
      </c>
      <c r="D2" s="2" t="s">
        <v>295</v>
      </c>
      <c r="E2" s="2">
        <v>1000</v>
      </c>
      <c r="F2" s="2">
        <v>35</v>
      </c>
      <c r="G2" s="4">
        <f>IFERROR(E2*F2,"")</f>
        <v>35000</v>
      </c>
      <c r="H2" s="2">
        <v>0</v>
      </c>
      <c r="I2" s="2">
        <v>1000</v>
      </c>
      <c r="J2" s="2" t="s">
        <v>296</v>
      </c>
      <c r="K2" s="2" t="s">
        <v>297</v>
      </c>
      <c r="L2" s="2" t="s">
        <v>298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使用说明</vt:lpstr>
      <vt:lpstr>持仓汇总</vt:lpstr>
      <vt:lpstr>每日行情</vt:lpstr>
      <vt:lpstr>操作日志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cairuir</cp:lastModifiedBy>
  <cp:revision>0</cp:revision>
  <dcterms:created xsi:type="dcterms:W3CDTF">2026-05-19T01:54:00Z</dcterms:created>
  <dcterms:modified xsi:type="dcterms:W3CDTF">2026-05-22T16:48:01Z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2052-12.1.25869.25869</vt:lpwstr>
  </property>
  <property fmtid="{D5CDD505-2E9C-101B-9397-08002B2CF9AE}" pid="3" name="CalculationRule">
    <vt:i4>0</vt:i4>
  </property>
  <property fmtid="{D5CDD505-2E9C-101B-9397-08002B2CF9AE}" pid="4" name="ICV">
    <vt:lpwstr>60AF8C8001B403C69B9E056A6E4BB7D0_42</vt:lpwstr>
  </property>
</Properties>
</file>