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000" windowHeight="13060" tabRatio="500" firstSheet="0" activeTab="2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持仓汇总" sheetId="2" state="visible" r:id="rId2"/>
    <sheet xmlns:r="http://schemas.openxmlformats.org/officeDocument/2006/relationships" name="每日行情" sheetId="3" state="visible" r:id="rId3"/>
    <sheet xmlns:r="http://schemas.openxmlformats.org/officeDocument/2006/relationships" name="操作日志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¥#,##0.00"/>
    <numFmt numFmtId="165" formatCode="\¥#,##0.00;[Red]&quot;-¥&quot;#,##0.00"/>
  </numFmts>
  <fonts count="37">
    <font>
      <name val="Calibri"/>
      <charset val="1"/>
      <color theme="1"/>
      <sz val="11"/>
    </font>
    <font>
      <name val="Noto Sans CJK SC"/>
      <charset val="134"/>
      <b val="1"/>
      <color rgb="FFFFFFFF"/>
      <sz val="11"/>
    </font>
    <font>
      <name val="Noto Sans CJK SC"/>
      <charset val="134"/>
      <i val="1"/>
      <color rgb="FF999999"/>
      <sz val="10"/>
    </font>
    <font>
      <name val="Arial"/>
      <charset val="1"/>
      <i val="1"/>
      <color rgb="FF999999"/>
      <sz val="10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Noto Sans CJK SC"/>
      <charset val="134"/>
      <sz val="10"/>
    </font>
    <font>
      <name val="Noto Sans CJK SC"/>
      <charset val="134"/>
      <b val="1"/>
      <color rgb="FF1F4E78"/>
      <sz val="12"/>
    </font>
    <font>
      <name val="Noto Sans CJK SC"/>
      <charset val="134"/>
      <b val="1"/>
      <sz val="11"/>
    </font>
    <font>
      <name val="Cambria"/>
      <charset val="1"/>
      <b val="1"/>
      <color rgb="FF1F4E78"/>
      <sz val="16"/>
    </font>
    <font>
      <name val="Cambria"/>
      <charset val="1"/>
      <i val="1"/>
      <sz val="10"/>
    </font>
    <font>
      <name val="Noto Sans CJK SC"/>
      <charset val="134"/>
      <i val="1"/>
      <sz val="10"/>
    </font>
    <font>
      <name val="Cambria"/>
      <charset val="1"/>
      <sz val="10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mbria"/>
      <charset val="1"/>
      <b val="1"/>
      <color rgb="FF1F4E78"/>
      <sz val="12"/>
    </font>
    <font>
      <name val="Cambria"/>
      <charset val="1"/>
      <b val="1"/>
      <sz val="11"/>
    </font>
    <font>
      <name val="Noto Sans CJK SC"/>
      <charset val="134"/>
      <b val="1"/>
      <color rgb="FF1F4E78"/>
      <sz val="16"/>
    </font>
  </fonts>
  <fills count="36">
    <fill>
      <patternFill/>
    </fill>
    <fill>
      <patternFill patternType="gray125"/>
    </fill>
    <fill>
      <patternFill patternType="solid">
        <fgColor rgb="FFC62828"/>
        <bgColor rgb="FF993366"/>
      </patternFill>
    </fill>
    <fill>
      <patternFill patternType="solid">
        <fgColor rgb="FF2E7D32"/>
        <bgColor rgb="FF008000"/>
      </patternFill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/>
    <xf numFmtId="44" fontId="13" fillId="0" borderId="0"/>
    <xf numFmtId="9" fontId="13" fillId="0" borderId="0"/>
    <xf numFmtId="41" fontId="13" fillId="0" borderId="0"/>
    <xf numFmtId="42" fontId="13" fillId="0" borderId="0"/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5" borderId="3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4" applyAlignment="1">
      <alignment vertical="center"/>
    </xf>
    <xf numFmtId="0" fontId="21" fillId="0" borderId="4" applyAlignment="1">
      <alignment vertical="center"/>
    </xf>
    <xf numFmtId="0" fontId="22" fillId="0" borderId="5" applyAlignment="1">
      <alignment vertical="center"/>
    </xf>
    <xf numFmtId="0" fontId="22" fillId="0" borderId="0" applyAlignment="1">
      <alignment vertical="center"/>
    </xf>
    <xf numFmtId="0" fontId="23" fillId="6" borderId="6" applyAlignment="1">
      <alignment vertical="center"/>
    </xf>
    <xf numFmtId="0" fontId="24" fillId="7" borderId="7" applyAlignment="1">
      <alignment vertical="center"/>
    </xf>
    <xf numFmtId="0" fontId="25" fillId="7" borderId="6" applyAlignment="1">
      <alignment vertical="center"/>
    </xf>
    <xf numFmtId="0" fontId="26" fillId="8" borderId="8" applyAlignment="1">
      <alignment vertical="center"/>
    </xf>
    <xf numFmtId="0" fontId="27" fillId="0" borderId="9" applyAlignment="1">
      <alignment vertical="center"/>
    </xf>
    <xf numFmtId="0" fontId="28" fillId="0" borderId="10" applyAlignment="1">
      <alignment vertical="center"/>
    </xf>
    <xf numFmtId="0" fontId="29" fillId="9" borderId="0" applyAlignment="1">
      <alignment vertical="center"/>
    </xf>
    <xf numFmtId="0" fontId="30" fillId="10" borderId="0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3" fillId="14" borderId="0" applyAlignment="1">
      <alignment vertical="center"/>
    </xf>
    <xf numFmtId="0" fontId="32" fillId="15" borderId="0" applyAlignment="1">
      <alignment vertical="center"/>
    </xf>
    <xf numFmtId="0" fontId="32" fillId="16" borderId="0" applyAlignment="1">
      <alignment vertical="center"/>
    </xf>
    <xf numFmtId="0" fontId="33" fillId="17" borderId="0" applyAlignment="1">
      <alignment vertical="center"/>
    </xf>
    <xf numFmtId="0" fontId="33" fillId="18" borderId="0" applyAlignment="1">
      <alignment vertical="center"/>
    </xf>
    <xf numFmtId="0" fontId="32" fillId="19" borderId="0" applyAlignment="1">
      <alignment vertical="center"/>
    </xf>
    <xf numFmtId="0" fontId="32" fillId="20" borderId="0" applyAlignment="1">
      <alignment vertical="center"/>
    </xf>
    <xf numFmtId="0" fontId="33" fillId="21" borderId="0" applyAlignment="1">
      <alignment vertical="center"/>
    </xf>
    <xf numFmtId="0" fontId="33" fillId="22" borderId="0" applyAlignment="1">
      <alignment vertical="center"/>
    </xf>
    <xf numFmtId="0" fontId="32" fillId="23" borderId="0" applyAlignment="1">
      <alignment vertical="center"/>
    </xf>
    <xf numFmtId="0" fontId="32" fillId="24" borderId="0" applyAlignment="1">
      <alignment vertical="center"/>
    </xf>
    <xf numFmtId="0" fontId="33" fillId="25" borderId="0" applyAlignment="1">
      <alignment vertical="center"/>
    </xf>
    <xf numFmtId="0" fontId="33" fillId="26" borderId="0" applyAlignment="1">
      <alignment vertical="center"/>
    </xf>
    <xf numFmtId="0" fontId="32" fillId="27" borderId="0" applyAlignment="1">
      <alignment vertical="center"/>
    </xf>
    <xf numFmtId="0" fontId="32" fillId="28" borderId="0" applyAlignment="1">
      <alignment vertical="center"/>
    </xf>
    <xf numFmtId="0" fontId="33" fillId="29" borderId="0" applyAlignment="1">
      <alignment vertical="center"/>
    </xf>
    <xf numFmtId="0" fontId="33" fillId="30" borderId="0" applyAlignment="1">
      <alignment vertical="center"/>
    </xf>
    <xf numFmtId="0" fontId="32" fillId="31" borderId="0" applyAlignment="1">
      <alignment vertical="center"/>
    </xf>
    <xf numFmtId="0" fontId="32" fillId="32" borderId="0" applyAlignment="1">
      <alignment vertical="center"/>
    </xf>
    <xf numFmtId="0" fontId="33" fillId="33" borderId="0" applyAlignment="1">
      <alignment vertical="center"/>
    </xf>
    <xf numFmtId="0" fontId="33" fillId="34" borderId="0" applyAlignment="1">
      <alignment vertical="center"/>
    </xf>
    <xf numFmtId="0" fontId="32" fillId="35" borderId="0" applyAlignment="1">
      <alignment vertical="center"/>
    </xf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14" fontId="5" fillId="0" borderId="2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6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3" fillId="0" borderId="2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99999"/>
      <rgbColor rgb="00003366"/>
      <rgbColor rgb="002E7D32"/>
      <rgbColor rgb="00003300"/>
      <rgbColor rgb="00333300"/>
      <rgbColor rgb="00C62828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"/>
  <sheetViews>
    <sheetView topLeftCell="A63" workbookViewId="0">
      <selection activeCell="A1" sqref="A1"/>
    </sheetView>
  </sheetViews>
  <sheetFormatPr baseColWidth="8" defaultColWidth="8.6796875" defaultRowHeight="16.8"/>
  <cols>
    <col width="80" customWidth="1" min="1" max="1"/>
  </cols>
  <sheetData>
    <row r="1" ht="24" customHeight="1">
      <c r="A1" s="17" t="inlineStr">
        <is>
          <t>📊 A股持仓追踪系统 - 使用说明</t>
        </is>
      </c>
    </row>
    <row r="2">
      <c r="A2" s="18" t="n"/>
    </row>
    <row r="3" ht="17.6" customHeight="1">
      <c r="A3" s="12" t="inlineStr">
        <is>
          <t>🎯 系统目的</t>
        </is>
      </c>
    </row>
    <row r="4">
      <c r="A4" s="19" t="inlineStr">
        <is>
          <t xml:space="preserve">  为已持仓的5只A股提供每日复盘和次日操作计划</t>
        </is>
      </c>
    </row>
    <row r="5">
      <c r="A5" s="18" t="n"/>
    </row>
    <row r="6" ht="18" customHeight="1">
      <c r="A6" s="12" t="inlineStr">
        <is>
          <t>📋 三个Sheet说明</t>
        </is>
      </c>
    </row>
    <row r="7">
      <c r="A7" s="18" t="n"/>
    </row>
    <row r="8">
      <c r="A8" s="20" t="inlineStr">
        <is>
          <t>1. 【持仓汇总】- 主表格</t>
        </is>
      </c>
    </row>
    <row r="9">
      <c r="A9" s="19" t="inlineStr">
        <is>
          <t xml:space="preserve">   • 填写：成本价、持仓数量、当前价、止盈位、止损位</t>
        </is>
      </c>
    </row>
    <row r="10">
      <c r="A10" s="19" t="inlineStr">
        <is>
          <t xml:space="preserve">   • 自动计算：持仓市值、组合占比、浮盈/亏、距止盈/止损距离</t>
        </is>
      </c>
    </row>
    <row r="11">
      <c r="A11" s="19" t="inlineStr">
        <is>
          <t xml:space="preserve">   • 类别：持仓 或 观望</t>
        </is>
      </c>
    </row>
    <row r="12">
      <c r="A12" s="18" t="n"/>
    </row>
    <row r="13">
      <c r="A13" s="20" t="inlineStr">
        <is>
          <t>2. 【每日行情】- 历史数据池</t>
        </is>
      </c>
    </row>
    <row r="14">
      <c r="A14" s="19" t="inlineStr">
        <is>
          <t xml:space="preserve">   • 每个交易日收盘后追加一行（每只股票一行）</t>
        </is>
      </c>
    </row>
    <row r="15">
      <c r="A15" s="19" t="inlineStr">
        <is>
          <t xml:space="preserve">   • 必填字段：收盘价、涨跌%、成交额、换手率、主力净流入、散户净流入</t>
        </is>
      </c>
    </row>
    <row r="16">
      <c r="A16" s="19" t="inlineStr">
        <is>
          <t xml:space="preserve">   • 自动计算字段：主力流入占比、散户流入占比</t>
        </is>
      </c>
    </row>
    <row r="17">
      <c r="A17" s="18" t="n"/>
    </row>
    <row r="18">
      <c r="A18" s="20" t="inlineStr">
        <is>
          <t>3. 【操作日志】- 交易记录</t>
        </is>
      </c>
    </row>
    <row r="19">
      <c r="A19" s="19" t="inlineStr">
        <is>
          <t xml:space="preserve">   • 每次买入/卖出都要记录</t>
        </is>
      </c>
    </row>
    <row r="20">
      <c r="A20" s="19" t="inlineStr">
        <is>
          <t xml:space="preserve">   • 用于事后复盘交易决策</t>
        </is>
      </c>
    </row>
    <row r="21">
      <c r="A21" s="18" t="n"/>
    </row>
    <row r="22" ht="18" customHeight="1">
      <c r="A22" s="12" t="inlineStr">
        <is>
          <t>🔄 每日工作流（约5分钟）</t>
        </is>
      </c>
    </row>
    <row r="23">
      <c r="A23" s="18" t="n"/>
    </row>
    <row r="24">
      <c r="A24" s="20" t="inlineStr">
        <is>
          <t xml:space="preserve">  15:00 A股收盘</t>
        </is>
      </c>
    </row>
    <row r="25">
      <c r="A25" s="20" t="inlineStr">
        <is>
          <t xml:space="preserve">  ↓</t>
        </is>
      </c>
    </row>
    <row r="26">
      <c r="A26" s="19" t="inlineStr">
        <is>
          <t xml:space="preserve">  在 持仓汇总 Sheet 更新【当前价】列</t>
        </is>
      </c>
    </row>
    <row r="27">
      <c r="A27" s="20" t="inlineStr">
        <is>
          <t xml:space="preserve">  ↓</t>
        </is>
      </c>
    </row>
    <row r="28">
      <c r="A28" s="19" t="inlineStr">
        <is>
          <t xml:space="preserve">  在 每日行情 Sheet 追加今日数据（5行）</t>
        </is>
      </c>
    </row>
    <row r="29">
      <c r="A29" s="20" t="inlineStr">
        <is>
          <t xml:space="preserve">  ↓</t>
        </is>
      </c>
    </row>
    <row r="30">
      <c r="A30" s="19" t="inlineStr">
        <is>
          <t xml:space="preserve">  保存Excel文件</t>
        </is>
      </c>
    </row>
    <row r="31">
      <c r="A31" s="20" t="inlineStr">
        <is>
          <t xml:space="preserve">  ↓</t>
        </is>
      </c>
    </row>
    <row r="32">
      <c r="A32" s="19" t="inlineStr">
        <is>
          <t xml:space="preserve">  打开 Claude Project → 删除旧Excel → 上传新Excel</t>
        </is>
      </c>
    </row>
    <row r="33">
      <c r="A33" s="20" t="inlineStr">
        <is>
          <t xml:space="preserve">  ↓</t>
        </is>
      </c>
    </row>
    <row r="34">
      <c r="A34" s="19" t="inlineStr">
        <is>
          <t xml:space="preserve">  发送指令：今日复盘</t>
        </is>
      </c>
    </row>
    <row r="35">
      <c r="A35" s="20" t="inlineStr">
        <is>
          <t xml:space="preserve">  ↓</t>
        </is>
      </c>
    </row>
    <row r="36">
      <c r="A36" s="19" t="inlineStr">
        <is>
          <t xml:space="preserve">  阅读报告，记录次日操作计划</t>
        </is>
      </c>
    </row>
    <row r="37">
      <c r="A37" s="18" t="n"/>
    </row>
    <row r="38" ht="17.6" customHeight="1">
      <c r="A38" s="12" t="inlineStr">
        <is>
          <t>⚙️ 关键字段填写规范</t>
        </is>
      </c>
    </row>
    <row r="39">
      <c r="A39" s="18" t="n"/>
    </row>
    <row r="40">
      <c r="A40" s="21" t="inlineStr">
        <is>
          <t xml:space="preserve">  • 类别：持仓 / 观望（文字必须一致）</t>
        </is>
      </c>
    </row>
    <row r="41">
      <c r="A41" s="21" t="inlineStr">
        <is>
          <t xml:space="preserve">  • 代码：6位数字（如 002138）</t>
        </is>
      </c>
    </row>
    <row r="42">
      <c r="A42" s="21" t="inlineStr">
        <is>
          <t xml:space="preserve">  • 成本价、当前价：保留2位小数</t>
        </is>
      </c>
    </row>
    <row r="43">
      <c r="A43" s="21" t="inlineStr">
        <is>
          <t xml:space="preserve">  • 成交额：单位为【亿】（如 14.72）</t>
        </is>
      </c>
    </row>
    <row r="44">
      <c r="A44" s="21" t="inlineStr">
        <is>
          <t xml:space="preserve">  • 主力净流入、散户净流入：单位为【万】（正数=净流入，负数=净流出）</t>
        </is>
      </c>
    </row>
    <row r="45">
      <c r="A45" s="21" t="inlineStr">
        <is>
          <t xml:space="preserve">  • 总流入资金：可选填，单位为万</t>
        </is>
      </c>
    </row>
    <row r="46">
      <c r="A46" s="21" t="inlineStr">
        <is>
          <t xml:space="preserve">  • 风险等级：🟢低 / 🟠中 / 🔴高</t>
        </is>
      </c>
    </row>
    <row r="47">
      <c r="A47" s="18" t="n"/>
    </row>
    <row r="48" ht="18" customHeight="1">
      <c r="A48" s="12" t="inlineStr">
        <is>
          <t>💡 关键观察指标（如何识别派发/吸筹）</t>
        </is>
      </c>
    </row>
    <row r="49">
      <c r="A49" s="18" t="n"/>
    </row>
    <row r="50">
      <c r="A50" s="21" t="inlineStr">
        <is>
          <t xml:space="preserve">  • 主力流入占比 &gt; 10% + 股价上涨 → 吸筹信号 🟢</t>
        </is>
      </c>
    </row>
    <row r="51">
      <c r="A51" s="21" t="inlineStr">
        <is>
          <t xml:space="preserve">  • 主力流入占比 &lt; -5% + 散户流入占比 &gt; 5% → 派发信号 🔴</t>
        </is>
      </c>
    </row>
    <row r="52">
      <c r="A52" s="21" t="inlineStr">
        <is>
          <t xml:space="preserve">  • 连续3日主力流入占比 &lt; 0 → 持续派发警告 🔴</t>
        </is>
      </c>
    </row>
    <row r="53">
      <c r="A53" s="21" t="inlineStr">
        <is>
          <t xml:space="preserve">  • 高换手率(&gt;10%)+主力流出+散户流入 → 高位派发 🔴🔴</t>
        </is>
      </c>
    </row>
    <row r="54">
      <c r="A54" s="18" t="n"/>
    </row>
    <row r="55" ht="17.6" customHeight="1">
      <c r="A55" s="12" t="inlineStr">
        <is>
          <t>📥 数据来源推荐</t>
        </is>
      </c>
    </row>
    <row r="56">
      <c r="A56" s="18" t="n"/>
    </row>
    <row r="57">
      <c r="A57" s="21" t="inlineStr">
        <is>
          <t xml:space="preserve">  • 主力/散户资金流向：东方财富网（个股页底部 资金流向 栏目）</t>
        </is>
      </c>
    </row>
    <row r="58">
      <c r="A58" s="21" t="inlineStr">
        <is>
          <t xml:space="preserve">  • 实时行情：同花顺、雪球</t>
        </is>
      </c>
    </row>
    <row r="59">
      <c r="A59" s="21" t="inlineStr">
        <is>
          <t xml:space="preserve">  • 龙虎榜：证券之星</t>
        </is>
      </c>
    </row>
    <row r="60">
      <c r="A60" s="21" t="inlineStr">
        <is>
          <t xml:space="preserve">  • 公司公告：上交所/深交所官网</t>
        </is>
      </c>
    </row>
    <row r="61">
      <c r="A61" s="18" t="n"/>
    </row>
    <row r="62" ht="17.6" customHeight="1">
      <c r="A62" s="12" t="inlineStr">
        <is>
          <t>🚀 进阶用法</t>
        </is>
      </c>
    </row>
    <row r="63">
      <c r="A63" s="18" t="n"/>
    </row>
    <row r="64">
      <c r="A64" s="21" t="inlineStr">
        <is>
          <t xml:space="preserve">  • 增加股票：直接在持仓汇总插入新行</t>
        </is>
      </c>
    </row>
    <row r="65">
      <c r="A65" s="21" t="inlineStr">
        <is>
          <t xml:space="preserve">  • 卖出后：保留历史数据，将类别改为已清仓</t>
        </is>
      </c>
    </row>
    <row r="66">
      <c r="A66" s="21" t="inlineStr">
        <is>
          <t xml:space="preserve">  • 每周末：用透视表分析周度资金流向趋势</t>
        </is>
      </c>
    </row>
    <row r="67">
      <c r="A67" s="21" t="inlineStr">
        <is>
          <t xml:space="preserve">  • 月度复盘：对比主力占比与股价的相关性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activeCell="A1" sqref="A1"/>
      <selection pane="bottomLeft" activeCell="G7" sqref="G7"/>
    </sheetView>
  </sheetViews>
  <sheetFormatPr baseColWidth="8" defaultColWidth="8.6796875" defaultRowHeight="16.8"/>
  <cols>
    <col width="8" customWidth="1" min="1" max="1"/>
    <col width="14" customWidth="1" min="2" max="2"/>
    <col width="10" customWidth="1" min="3" max="3"/>
    <col width="8" customWidth="1" min="4" max="4"/>
    <col width="18" customWidth="1" min="5" max="5"/>
    <col width="10" customWidth="1" min="6" max="7"/>
    <col width="14" customWidth="1" min="8" max="8"/>
    <col width="11" customWidth="1" min="9" max="9"/>
    <col width="10" customWidth="1" min="10" max="10"/>
    <col width="11" customWidth="1" min="11" max="11"/>
    <col width="13" customWidth="1" min="12" max="12"/>
    <col width="10" customWidth="1" min="13" max="14"/>
    <col width="11" customWidth="1" min="15" max="16"/>
    <col width="12" customWidth="1" min="17" max="17"/>
    <col width="25" customWidth="1" min="18" max="18"/>
    <col width="10" customWidth="1" min="19" max="19"/>
    <col width="25" customWidth="1" min="20" max="20"/>
  </cols>
  <sheetData>
    <row r="1" ht="17" customHeight="1">
      <c r="A1" s="11" t="inlineStr">
        <is>
          <t>类别</t>
        </is>
      </c>
      <c r="B1" s="11" t="inlineStr">
        <is>
          <t>股票名称</t>
        </is>
      </c>
      <c r="C1" s="11" t="inlineStr">
        <is>
          <t>代码</t>
        </is>
      </c>
      <c r="D1" s="11" t="inlineStr">
        <is>
          <t>市场</t>
        </is>
      </c>
      <c r="E1" s="11" t="inlineStr">
        <is>
          <t>板块</t>
        </is>
      </c>
      <c r="F1" s="11" t="inlineStr">
        <is>
          <t>成本价</t>
        </is>
      </c>
      <c r="G1" s="11" t="inlineStr">
        <is>
          <t>持仓数量</t>
        </is>
      </c>
      <c r="H1" s="11" t="inlineStr">
        <is>
          <t>持仓市值</t>
        </is>
      </c>
      <c r="I1" s="11" t="inlineStr">
        <is>
          <t>组合占比%</t>
        </is>
      </c>
      <c r="J1" s="11" t="inlineStr">
        <is>
          <t>当前价</t>
        </is>
      </c>
      <c r="K1" s="11" t="inlineStr">
        <is>
          <t>浮盈/亏%</t>
        </is>
      </c>
      <c r="L1" s="11" t="inlineStr">
        <is>
          <t>浮盈/亏金额</t>
        </is>
      </c>
      <c r="M1" s="11" t="inlineStr">
        <is>
          <t>止盈位</t>
        </is>
      </c>
      <c r="N1" s="11" t="inlineStr">
        <is>
          <t>止损位</t>
        </is>
      </c>
      <c r="O1" s="11" t="inlineStr">
        <is>
          <t>距止盈%</t>
        </is>
      </c>
      <c r="P1" s="11" t="inlineStr">
        <is>
          <t>距止损%</t>
        </is>
      </c>
      <c r="Q1" s="11" t="inlineStr">
        <is>
          <t>建仓日期</t>
        </is>
      </c>
      <c r="R1" s="11" t="inlineStr">
        <is>
          <t>关注理由</t>
        </is>
      </c>
      <c r="S1" s="11" t="inlineStr">
        <is>
          <t>风险等级</t>
        </is>
      </c>
      <c r="T1" s="11" t="inlineStr">
        <is>
          <t>备注</t>
        </is>
      </c>
    </row>
    <row r="2">
      <c r="A2" s="8" t="inlineStr">
        <is>
          <t>持仓</t>
        </is>
      </c>
      <c r="B2" s="8" t="inlineStr">
        <is>
          <t>顺络电子</t>
        </is>
      </c>
      <c r="C2" s="7" t="inlineStr">
        <is>
          <t>002138</t>
        </is>
      </c>
      <c r="D2" s="8" t="inlineStr">
        <is>
          <t>深市</t>
        </is>
      </c>
      <c r="E2" s="8" t="inlineStr">
        <is>
          <t>电子元件/国产替代</t>
        </is>
      </c>
      <c r="F2" s="8" t="n">
        <v>36.709</v>
      </c>
      <c r="G2" s="8" t="n">
        <v>400</v>
      </c>
      <c r="H2" s="8">
        <f>IFERROR(F2*G2,"")</f>
        <v/>
      </c>
      <c r="I2" s="9">
        <f>IFERROR(H2/SUM($H$2:$H$6),"")</f>
        <v/>
      </c>
      <c r="J2" s="8" t="n">
        <v>35.6</v>
      </c>
      <c r="K2" s="9">
        <f>IFERROR((J2-F2)/F2,"")</f>
        <v/>
      </c>
      <c r="L2" s="8">
        <f>IFERROR((J2-F2)*G2,"")</f>
        <v/>
      </c>
      <c r="M2" s="8" t="n"/>
      <c r="N2" s="8" t="n"/>
      <c r="O2" s="9">
        <f>IFERROR((M2-J2)/J2,"")</f>
        <v/>
      </c>
      <c r="P2" s="9">
        <f>IFERROR((J2-N2)/J2,"")</f>
        <v/>
      </c>
      <c r="Q2" s="8" t="n"/>
      <c r="R2" s="8" t="inlineStr">
        <is>
          <t>国内片式电感龙头，机构吸筹</t>
        </is>
      </c>
      <c r="S2" s="7" t="inlineStr">
        <is>
          <t>🟢</t>
        </is>
      </c>
      <c r="T2" s="7" t="inlineStr">
        <is>
          <t>Q1净利-23.71%需关注</t>
        </is>
      </c>
    </row>
    <row r="3">
      <c r="A3" s="8" t="inlineStr">
        <is>
          <t>持仓</t>
        </is>
      </c>
      <c r="B3" s="8" t="inlineStr">
        <is>
          <t>大唐电信</t>
        </is>
      </c>
      <c r="C3" s="7" t="inlineStr">
        <is>
          <t>600198</t>
        </is>
      </c>
      <c r="D3" s="8" t="inlineStr">
        <is>
          <t>沪市</t>
        </is>
      </c>
      <c r="E3" s="8" t="inlineStr">
        <is>
          <t>通信芯片/题材股</t>
        </is>
      </c>
      <c r="F3" s="8" t="n">
        <v>7.973</v>
      </c>
      <c r="G3" s="8" t="n">
        <v>200</v>
      </c>
      <c r="H3" s="8">
        <f>IFERROR(F3*G3,"")</f>
        <v/>
      </c>
      <c r="I3" s="9">
        <f>IFERROR(H3/SUM($H$2:$H$6),"")</f>
        <v/>
      </c>
      <c r="J3" s="8" t="n">
        <v>9.380000000000001</v>
      </c>
      <c r="K3" s="9">
        <f>IFERROR((J3-F3)/F3,"")</f>
        <v/>
      </c>
      <c r="L3" s="8">
        <f>IFERROR((J3-F3)*G3,"")</f>
        <v/>
      </c>
      <c r="M3" s="8" t="n"/>
      <c r="N3" s="8" t="n"/>
      <c r="O3" s="9">
        <f>IFERROR((M3-J3)/J3,"")</f>
        <v/>
      </c>
      <c r="P3" s="9">
        <f>IFERROR((J3-N3)/J3,"")</f>
        <v/>
      </c>
      <c r="Q3" s="8" t="n"/>
      <c r="R3" s="8" t="inlineStr">
        <is>
          <t>安全芯片+特种通信</t>
        </is>
      </c>
      <c r="S3" s="7" t="inlineStr">
        <is>
          <t>🔴</t>
        </is>
      </c>
      <c r="T3" s="8" t="inlineStr">
        <is>
          <t>连续多年亏损，题材股属性强</t>
        </is>
      </c>
    </row>
    <row r="4">
      <c r="A4" s="8" t="inlineStr">
        <is>
          <t>持仓</t>
        </is>
      </c>
      <c r="B4" s="8" t="inlineStr">
        <is>
          <t>上海临港</t>
        </is>
      </c>
      <c r="C4" s="7" t="inlineStr">
        <is>
          <t>600848</t>
        </is>
      </c>
      <c r="D4" s="8" t="inlineStr">
        <is>
          <t>沪市</t>
        </is>
      </c>
      <c r="E4" s="8" t="inlineStr">
        <is>
          <t>园区运营/自贸区</t>
        </is>
      </c>
      <c r="F4" s="8" t="n">
        <v>14.02</v>
      </c>
      <c r="G4" s="8" t="n">
        <v>1120</v>
      </c>
      <c r="H4" s="8">
        <f>IFERROR(F4*G4,"")</f>
        <v/>
      </c>
      <c r="I4" s="9">
        <f>IFERROR(H4/SUM($H$2:$H$6),"")</f>
        <v/>
      </c>
      <c r="J4" s="8" t="n">
        <v>8.81</v>
      </c>
      <c r="K4" s="9">
        <f>IFERROR((J4-F4)/F4,"")</f>
        <v/>
      </c>
      <c r="L4" s="8">
        <f>IFERROR((J4-F4)*G4,"")</f>
        <v/>
      </c>
      <c r="M4" s="8" t="n"/>
      <c r="N4" s="8" t="n"/>
      <c r="O4" s="9">
        <f>IFERROR((M4-J4)/J4,"")</f>
        <v/>
      </c>
      <c r="P4" s="9">
        <f>IFERROR((J4-N4)/J4,"")</f>
        <v/>
      </c>
      <c r="Q4" s="8" t="n"/>
      <c r="R4" s="8" t="inlineStr">
        <is>
          <t>上海临港国资龙头</t>
        </is>
      </c>
      <c r="S4" s="7" t="inlineStr">
        <is>
          <t>🟠</t>
        </is>
      </c>
      <c r="T4" s="7" t="inlineStr">
        <is>
          <t>Q1扣非-82%，基本面承压</t>
        </is>
      </c>
    </row>
    <row r="5">
      <c r="A5" s="8" t="inlineStr">
        <is>
          <t>持仓</t>
        </is>
      </c>
      <c r="B5" s="8" t="inlineStr">
        <is>
          <t>四川长虹</t>
        </is>
      </c>
      <c r="C5" s="7" t="inlineStr">
        <is>
          <t>600839</t>
        </is>
      </c>
      <c r="D5" s="8" t="inlineStr">
        <is>
          <t>沪市</t>
        </is>
      </c>
      <c r="E5" s="8" t="inlineStr">
        <is>
          <t>家电/AI家电</t>
        </is>
      </c>
      <c r="F5" s="8" t="n">
        <v>11.277</v>
      </c>
      <c r="G5" s="8" t="n">
        <v>1100</v>
      </c>
      <c r="H5" s="8">
        <f>IFERROR(F5*G5,"")</f>
        <v/>
      </c>
      <c r="I5" s="9">
        <f>IFERROR(H5/SUM($H$2:$H$6),"")</f>
        <v/>
      </c>
      <c r="J5" s="8" t="n">
        <v>8.630000000000001</v>
      </c>
      <c r="K5" s="9">
        <f>IFERROR((J5-F5)/F5,"")</f>
        <v/>
      </c>
      <c r="L5" s="8">
        <f>IFERROR((J5-F5)*G5,"")</f>
        <v/>
      </c>
      <c r="M5" s="8" t="n"/>
      <c r="N5" s="8" t="n"/>
      <c r="O5" s="9">
        <f>IFERROR((M5-J5)/J5,"")</f>
        <v/>
      </c>
      <c r="P5" s="9">
        <f>IFERROR((J5-N5)/J5,"")</f>
        <v/>
      </c>
      <c r="Q5" s="8" t="n"/>
      <c r="R5" s="7" t="inlineStr">
        <is>
          <t>AI家电概念+回购</t>
        </is>
      </c>
      <c r="S5" s="7" t="inlineStr">
        <is>
          <t>🟠</t>
        </is>
      </c>
      <c r="T5" s="7" t="inlineStr">
        <is>
          <t>Q1净利-71.5%</t>
        </is>
      </c>
    </row>
    <row r="6">
      <c r="A6" s="8" t="inlineStr">
        <is>
          <t>持仓</t>
        </is>
      </c>
      <c r="B6" s="8" t="inlineStr">
        <is>
          <t>吉视传媒</t>
        </is>
      </c>
      <c r="C6" s="7" t="inlineStr">
        <is>
          <t>601929</t>
        </is>
      </c>
      <c r="D6" s="8" t="inlineStr">
        <is>
          <t>沪市</t>
        </is>
      </c>
      <c r="E6" s="8" t="inlineStr">
        <is>
          <t>有线电视/传媒</t>
        </is>
      </c>
      <c r="F6" s="8" t="n">
        <v>4.874</v>
      </c>
      <c r="G6" s="8" t="n">
        <v>800</v>
      </c>
      <c r="H6" s="8">
        <f>IFERROR(F6*G6,"")</f>
        <v/>
      </c>
      <c r="I6" s="9">
        <f>IFERROR(H6/SUM($H$2:$H$6),"")</f>
        <v/>
      </c>
      <c r="J6" s="8" t="n">
        <v>2.9</v>
      </c>
      <c r="K6" s="9">
        <f>IFERROR((J6-F6)/F6,"")</f>
        <v/>
      </c>
      <c r="L6" s="8">
        <f>IFERROR((J6-F6)*G6,"")</f>
        <v/>
      </c>
      <c r="M6" s="8" t="n"/>
      <c r="N6" s="8" t="n"/>
      <c r="O6" s="9">
        <f>IFERROR((M6-J6)/J6,"")</f>
        <v/>
      </c>
      <c r="P6" s="9">
        <f>IFERROR((J6-N6)/J6,"")</f>
        <v/>
      </c>
      <c r="Q6" s="8" t="n"/>
      <c r="R6" s="8" t="inlineStr">
        <is>
          <t>吉林省国资控股</t>
        </is>
      </c>
      <c r="S6" s="7" t="inlineStr">
        <is>
          <t>🔴</t>
        </is>
      </c>
      <c r="T6" s="8" t="inlineStr">
        <is>
          <t>连续多年亏损，近5日主力净流出13.8亿</t>
        </is>
      </c>
    </row>
    <row r="7">
      <c r="A7" s="8" t="inlineStr">
        <is>
          <t>观望</t>
        </is>
      </c>
      <c r="B7" s="8" t="inlineStr">
        <is>
          <t>桂冠电力</t>
        </is>
      </c>
      <c r="C7" s="7" t="n">
        <v>600236</v>
      </c>
      <c r="D7" s="8" t="inlineStr">
        <is>
          <t>沪市</t>
        </is>
      </c>
      <c r="E7" s="8" t="inlineStr">
        <is>
          <t>电力</t>
        </is>
      </c>
      <c r="F7" s="8" t="n"/>
      <c r="G7" s="8" t="n">
        <v>0</v>
      </c>
      <c r="H7" s="8">
        <f>IFERROR(F7*G7,"")</f>
        <v/>
      </c>
      <c r="I7" s="8" t="n">
        <v>0</v>
      </c>
      <c r="J7" s="8" t="n">
        <v>11.13</v>
      </c>
      <c r="K7" s="9">
        <f t="array" ref="K7">IFERROR((J7-J8F7)/F7,"")</f>
        <v/>
      </c>
      <c r="L7" s="8">
        <f>IFERROR((J7-F7)*G7,"")</f>
        <v/>
      </c>
      <c r="M7" s="8" t="n"/>
      <c r="N7" s="8" t="n"/>
      <c r="O7" s="9">
        <f>IFERROR((M7-J7)/J7,"")</f>
        <v/>
      </c>
      <c r="P7" s="9">
        <f>IFERROR((J7-N7)/J7,"")</f>
        <v/>
      </c>
      <c r="Q7" s="8" t="n"/>
      <c r="R7" s="8" t="inlineStr">
        <is>
          <t>关注理由</t>
        </is>
      </c>
      <c r="S7" s="7" t="inlineStr">
        <is>
          <t>🟢</t>
        </is>
      </c>
      <c r="T7" s="8" t="inlineStr">
        <is>
          <t>观望股票备注</t>
        </is>
      </c>
    </row>
    <row r="8"/>
    <row r="9"/>
    <row r="10" ht="17.6" customHeight="1">
      <c r="A10" s="12" t="inlineStr">
        <is>
          <t>📊 组合统计</t>
        </is>
      </c>
    </row>
    <row r="11">
      <c r="A11" s="13" t="inlineStr">
        <is>
          <t>总持仓成本：</t>
        </is>
      </c>
      <c r="B11" s="22">
        <f>SUM(H2:H6)</f>
        <v/>
      </c>
    </row>
    <row r="12">
      <c r="A12" s="13" t="inlineStr">
        <is>
          <t>总当前市值：</t>
        </is>
      </c>
      <c r="B12" s="22">
        <f>SUMPRODUCT(J2:J6,G2:G6)</f>
        <v/>
      </c>
    </row>
    <row r="13" ht="17" customHeight="1">
      <c r="A13" s="13" t="inlineStr">
        <is>
          <t>总浮盈/亏：</t>
        </is>
      </c>
      <c r="B13" s="23">
        <f>B12-B11</f>
        <v/>
      </c>
    </row>
    <row r="14">
      <c r="A14" s="13" t="inlineStr">
        <is>
          <t>总收益率：</t>
        </is>
      </c>
      <c r="B14" s="16">
        <f>IFERROR(B13/B11,"")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tabSelected="1" workbookViewId="0">
      <pane ySplit="1" topLeftCell="A2" activePane="bottomLeft" state="frozen"/>
      <selection activeCell="A1" sqref="A1"/>
      <selection pane="bottomLeft" activeCell="F17" sqref="F17"/>
    </sheetView>
  </sheetViews>
  <sheetFormatPr baseColWidth="8" defaultColWidth="8.6796875" defaultRowHeight="16.8" outlineLevelRow="6"/>
  <cols>
    <col width="12" customWidth="1" min="1" max="1"/>
    <col width="10" customWidth="1" min="2" max="2"/>
    <col width="12" customWidth="1" min="3" max="3"/>
    <col width="10" customWidth="1" min="4" max="4"/>
    <col width="9" customWidth="1" min="5" max="5"/>
    <col width="11" customWidth="1" min="6" max="6"/>
    <col width="10" customWidth="1" min="7" max="7"/>
    <col width="14" customWidth="1" min="8" max="9"/>
    <col width="13" customWidth="1" min="10" max="10"/>
    <col width="14" customWidth="1" min="11" max="11"/>
    <col width="13" customWidth="1" min="12" max="12"/>
    <col width="9" customWidth="1" min="13" max="16"/>
    <col width="10" customWidth="1" min="17" max="17"/>
    <col width="30" customWidth="1" min="18" max="18"/>
  </cols>
  <sheetData>
    <row r="1" ht="17" customHeight="1">
      <c r="A1" s="5" t="inlineStr">
        <is>
          <t>日期</t>
        </is>
      </c>
      <c r="B1" s="5" t="inlineStr">
        <is>
          <t>股票代码</t>
        </is>
      </c>
      <c r="C1" s="5" t="inlineStr">
        <is>
          <t>股票名称</t>
        </is>
      </c>
      <c r="D1" s="5" t="inlineStr">
        <is>
          <t>收盘价</t>
        </is>
      </c>
      <c r="E1" s="5" t="inlineStr">
        <is>
          <t>涨跌%</t>
        </is>
      </c>
      <c r="F1" s="5" t="inlineStr">
        <is>
          <t>成交额(亿)</t>
        </is>
      </c>
      <c r="G1" s="5" t="inlineStr">
        <is>
          <t>换手率%</t>
        </is>
      </c>
      <c r="H1" s="5" t="inlineStr">
        <is>
          <t>总流入资金(万)</t>
        </is>
      </c>
      <c r="I1" s="5" t="inlineStr">
        <is>
          <t>主力净流入(万)</t>
        </is>
      </c>
      <c r="J1" s="5" t="inlineStr">
        <is>
          <t>主力流入占比%</t>
        </is>
      </c>
      <c r="K1" s="5" t="inlineStr">
        <is>
          <t>散户净流入(万)</t>
        </is>
      </c>
      <c r="L1" s="5" t="inlineStr">
        <is>
          <t>散户流入占比%</t>
        </is>
      </c>
      <c r="M1" s="6" t="inlineStr">
        <is>
          <t>MA5</t>
        </is>
      </c>
      <c r="N1" s="6" t="inlineStr">
        <is>
          <t>MA10</t>
        </is>
      </c>
      <c r="O1" s="6" t="inlineStr">
        <is>
          <t>MA20</t>
        </is>
      </c>
      <c r="P1" s="6" t="inlineStr">
        <is>
          <t>MA60</t>
        </is>
      </c>
      <c r="Q1" s="6" t="inlineStr">
        <is>
          <t>RSI(14)</t>
        </is>
      </c>
      <c r="R1" s="5" t="inlineStr">
        <is>
          <t>当日异动/事件</t>
        </is>
      </c>
    </row>
    <row r="2">
      <c r="A2" s="7" t="inlineStr">
        <is>
          <t>2026-05-13</t>
        </is>
      </c>
      <c r="B2" s="7" t="inlineStr">
        <is>
          <t>002138</t>
        </is>
      </c>
      <c r="C2" s="8" t="inlineStr">
        <is>
          <t>顺络电子</t>
        </is>
      </c>
      <c r="D2" s="8" t="n">
        <v>38.18</v>
      </c>
      <c r="E2" s="8" t="n">
        <v>2.63</v>
      </c>
      <c r="F2" s="8" t="n">
        <v>14.72</v>
      </c>
      <c r="G2" s="8" t="n">
        <v>5.12</v>
      </c>
      <c r="H2" s="8" t="n"/>
      <c r="I2" s="8" t="n">
        <v>18600</v>
      </c>
      <c r="J2" s="9">
        <f>IFERROR(I2/(F2*10000),"")</f>
        <v/>
      </c>
      <c r="K2" s="8" t="n">
        <v>-15700</v>
      </c>
      <c r="L2" s="9">
        <f>IFERROR(K2/(F2*10000),"")</f>
        <v/>
      </c>
      <c r="M2" s="8" t="n"/>
      <c r="N2" s="8" t="n"/>
      <c r="O2" s="8" t="n"/>
      <c r="P2" s="8" t="n"/>
      <c r="Q2" s="8" t="n"/>
      <c r="R2" s="8" t="inlineStr">
        <is>
          <t>主力大额净流入1.86亿</t>
        </is>
      </c>
    </row>
    <row r="3">
      <c r="A3" s="7" t="inlineStr">
        <is>
          <t>2026-05-14</t>
        </is>
      </c>
      <c r="B3" s="7" t="inlineStr">
        <is>
          <t>002138</t>
        </is>
      </c>
      <c r="C3" s="8" t="inlineStr">
        <is>
          <t>顺络电子</t>
        </is>
      </c>
      <c r="D3" s="8" t="n">
        <v>36.77</v>
      </c>
      <c r="E3" s="8" t="n">
        <v>-3.69</v>
      </c>
      <c r="F3" s="8" t="n">
        <v>11.44</v>
      </c>
      <c r="G3" s="8" t="n">
        <v>4.04</v>
      </c>
      <c r="H3" s="8" t="n">
        <v>-5085</v>
      </c>
      <c r="I3" s="8" t="n"/>
      <c r="J3" s="9">
        <f>IFERROR(I3/(F3*10000),"")</f>
        <v/>
      </c>
      <c r="K3" s="8" t="n"/>
      <c r="L3" s="9">
        <f>IFERROR(K3/(F3*10000),"")</f>
        <v/>
      </c>
      <c r="M3" s="8" t="n"/>
      <c r="N3" s="8" t="n"/>
      <c r="O3" s="8" t="n"/>
      <c r="P3" s="8" t="n"/>
      <c r="Q3" s="8" t="n"/>
      <c r="R3" s="8" t="inlineStr">
        <is>
          <t>跌穿MA10，板块情绪冲击</t>
        </is>
      </c>
    </row>
    <row r="4">
      <c r="A4" s="10" t="n">
        <v>46155</v>
      </c>
      <c r="B4" s="7" t="inlineStr">
        <is>
          <t>600198</t>
        </is>
      </c>
      <c r="C4" s="8" t="inlineStr">
        <is>
          <t>大唐电信</t>
        </is>
      </c>
      <c r="D4" s="8" t="n">
        <v>10.16</v>
      </c>
      <c r="E4" s="8" t="n">
        <v>0.59</v>
      </c>
      <c r="F4" s="8" t="n">
        <v>14.97</v>
      </c>
      <c r="G4" s="8" t="n">
        <v>11.37</v>
      </c>
      <c r="H4" s="8" t="n"/>
      <c r="I4" s="8" t="n">
        <v>1947</v>
      </c>
      <c r="J4" s="9">
        <f>IFERROR(I4/(F4*10000),"")</f>
        <v/>
      </c>
      <c r="K4" s="8" t="n">
        <v>834</v>
      </c>
      <c r="L4" s="9">
        <f>IFERROR(K4/(F4*10000),"")</f>
        <v/>
      </c>
      <c r="M4" s="8" t="n"/>
      <c r="N4" s="8" t="n"/>
      <c r="O4" s="8" t="n"/>
      <c r="P4" s="8" t="n"/>
      <c r="Q4" s="8" t="n"/>
      <c r="R4" s="8" t="inlineStr">
        <is>
          <t>高换手疑似派发</t>
        </is>
      </c>
    </row>
    <row r="5">
      <c r="A5" s="7" t="inlineStr">
        <is>
          <t>2026-05-13</t>
        </is>
      </c>
      <c r="B5" s="7" t="inlineStr">
        <is>
          <t>600848</t>
        </is>
      </c>
      <c r="C5" s="8" t="inlineStr">
        <is>
          <t>上海临港</t>
        </is>
      </c>
      <c r="D5" s="8" t="n"/>
      <c r="E5" s="8" t="n"/>
      <c r="F5" s="8" t="n"/>
      <c r="G5" s="8" t="n"/>
      <c r="H5" s="8" t="n"/>
      <c r="I5" s="8" t="n"/>
      <c r="J5" s="9">
        <f>IFERROR(I5/(F5*10000),"")</f>
        <v/>
      </c>
      <c r="K5" s="8" t="n"/>
      <c r="L5" s="9">
        <f>IFERROR(K5/(F5*10000),"")</f>
        <v/>
      </c>
      <c r="M5" s="8" t="n"/>
      <c r="N5" s="8" t="n"/>
      <c r="O5" s="8" t="n"/>
      <c r="P5" s="8" t="n"/>
      <c r="Q5" s="8" t="n"/>
      <c r="R5" s="8" t="inlineStr">
        <is>
          <t>数据待补充</t>
        </is>
      </c>
    </row>
    <row r="6">
      <c r="A6" s="7" t="inlineStr">
        <is>
          <t>2026-05-13</t>
        </is>
      </c>
      <c r="B6" s="7" t="inlineStr">
        <is>
          <t>600839</t>
        </is>
      </c>
      <c r="C6" s="8" t="inlineStr">
        <is>
          <t>四川长虹</t>
        </is>
      </c>
      <c r="D6" s="8" t="n">
        <v>8.869999999999999</v>
      </c>
      <c r="E6" s="8" t="n">
        <v>-0.45</v>
      </c>
      <c r="F6" s="8" t="n">
        <v>7.79</v>
      </c>
      <c r="G6" s="8" t="n">
        <v>1.91</v>
      </c>
      <c r="H6" s="8" t="n"/>
      <c r="I6" s="8" t="n">
        <v>-3602</v>
      </c>
      <c r="J6" s="9">
        <f>IFERROR(I6/(F6*10000),"")</f>
        <v/>
      </c>
      <c r="K6" s="8" t="n">
        <v>4406</v>
      </c>
      <c r="L6" s="9">
        <f>IFERROR(K6/(F6*10000),"")</f>
        <v/>
      </c>
      <c r="M6" s="8" t="n"/>
      <c r="N6" s="8" t="n"/>
      <c r="O6" s="8" t="n"/>
      <c r="P6" s="8" t="n"/>
      <c r="Q6" s="8" t="n"/>
      <c r="R6" s="8" t="inlineStr">
        <is>
          <t>散户接盘特征</t>
        </is>
      </c>
    </row>
    <row r="7">
      <c r="A7" s="7" t="inlineStr">
        <is>
          <t>2026-05-13</t>
        </is>
      </c>
      <c r="B7" s="7" t="inlineStr">
        <is>
          <t>601929</t>
        </is>
      </c>
      <c r="C7" s="8" t="inlineStr">
        <is>
          <t>吉视传媒</t>
        </is>
      </c>
      <c r="D7" s="8" t="n"/>
      <c r="E7" s="8" t="n"/>
      <c r="F7" s="8" t="n"/>
      <c r="G7" s="8" t="n"/>
      <c r="H7" s="8" t="n"/>
      <c r="I7" s="8" t="n">
        <v>3696</v>
      </c>
      <c r="J7" s="9">
        <f>IFERROR(I7/(F7*10000),"")</f>
        <v/>
      </c>
      <c r="K7" s="8" t="n">
        <v>-684</v>
      </c>
      <c r="L7" s="9">
        <f>IFERROR(K7/(F7*10000),"")</f>
        <v/>
      </c>
      <c r="M7" s="8" t="n"/>
      <c r="N7" s="8" t="n"/>
      <c r="O7" s="8" t="n"/>
      <c r="P7" s="8" t="n"/>
      <c r="Q7" s="8" t="n"/>
      <c r="R7" s="8" t="inlineStr">
        <is>
          <t>近5日主力净流出13.8亿</t>
        </is>
      </c>
    </row>
    <row r="8">
      <c r="A8" t="inlineStr">
        <is>
          <t>2026-05-15</t>
        </is>
      </c>
      <c r="B8" t="inlineStr">
        <is>
          <t>002138</t>
        </is>
      </c>
      <c r="C8" t="inlineStr">
        <is>
          <t>顺络电子</t>
        </is>
      </c>
      <c r="D8" t="n">
        <v>35.6</v>
      </c>
      <c r="E8" t="n">
        <v>-3.182</v>
      </c>
      <c r="F8" t="n">
        <v>3.06</v>
      </c>
      <c r="H8" t="n">
        <v>0</v>
      </c>
      <c r="I8" t="n">
        <v>-6371.36</v>
      </c>
      <c r="J8" t="n">
        <v>-5.57</v>
      </c>
      <c r="K8" t="n">
        <v>5966.84</v>
      </c>
      <c r="L8" t="n">
        <v>5.22</v>
      </c>
      <c r="M8" t="n">
        <v>37.31</v>
      </c>
      <c r="N8" t="n">
        <v>36.22</v>
      </c>
      <c r="O8" t="n">
        <v>35.87</v>
      </c>
      <c r="P8" t="n">
        <v>36.55</v>
      </c>
      <c r="Q8" t="n">
        <v>58.55</v>
      </c>
      <c r="R8" t="inlineStr">
        <is>
          <t>⚠️大跌 -3.18% | 🚨主力净流出 -5.57%</t>
        </is>
      </c>
    </row>
    <row r="9">
      <c r="A9" t="inlineStr">
        <is>
          <t>2026-05-15</t>
        </is>
      </c>
      <c r="B9" t="inlineStr">
        <is>
          <t>600198</t>
        </is>
      </c>
      <c r="C9" t="inlineStr">
        <is>
          <t>大唐电信</t>
        </is>
      </c>
      <c r="D9" t="n">
        <v>9.380000000000001</v>
      </c>
      <c r="E9" t="n">
        <v>-1.263</v>
      </c>
      <c r="F9" t="n">
        <v>3.41</v>
      </c>
      <c r="M9" t="n">
        <v>9.66</v>
      </c>
      <c r="N9" t="n">
        <v>9.039999999999999</v>
      </c>
      <c r="O9" t="n">
        <v>8.699999999999999</v>
      </c>
      <c r="P9" t="n">
        <v>8.82</v>
      </c>
      <c r="Q9" t="n">
        <v>64.08</v>
      </c>
      <c r="R9" t="inlineStr">
        <is>
          <t>正常</t>
        </is>
      </c>
    </row>
    <row r="10">
      <c r="A10" t="inlineStr">
        <is>
          <t>2026-05-15</t>
        </is>
      </c>
      <c r="B10" t="inlineStr">
        <is>
          <t>600848</t>
        </is>
      </c>
      <c r="C10" t="inlineStr">
        <is>
          <t>上海临港</t>
        </is>
      </c>
      <c r="D10" t="n">
        <v>8.81</v>
      </c>
      <c r="E10" t="n">
        <v>-1.564</v>
      </c>
      <c r="F10" t="n">
        <v>0.72</v>
      </c>
      <c r="H10" t="n">
        <v>-0</v>
      </c>
      <c r="I10" t="n">
        <v>2695.51</v>
      </c>
      <c r="J10" t="n">
        <v>10.64</v>
      </c>
      <c r="K10" t="n">
        <v>-3897.08</v>
      </c>
      <c r="L10" t="n">
        <v>-15.39</v>
      </c>
      <c r="M10" t="n">
        <v>9.07</v>
      </c>
      <c r="N10" t="n">
        <v>9.050000000000001</v>
      </c>
      <c r="O10" t="n">
        <v>9.18</v>
      </c>
      <c r="P10" t="n">
        <v>10.1</v>
      </c>
      <c r="Q10" t="n">
        <v>40.16</v>
      </c>
      <c r="R10" t="inlineStr">
        <is>
          <t>💰主力净流入 10.64% | 🆘🆘跌破止损 9.5</t>
        </is>
      </c>
    </row>
    <row r="11">
      <c r="A11" t="inlineStr">
        <is>
          <t>2026-05-15</t>
        </is>
      </c>
      <c r="B11" t="inlineStr">
        <is>
          <t>600839</t>
        </is>
      </c>
      <c r="C11" t="inlineStr">
        <is>
          <t>四川长虹</t>
        </is>
      </c>
      <c r="D11" t="n">
        <v>8.630000000000001</v>
      </c>
      <c r="E11" t="n">
        <v>-0.346</v>
      </c>
      <c r="F11" t="n">
        <v>1.09</v>
      </c>
      <c r="M11" t="n">
        <v>8.800000000000001</v>
      </c>
      <c r="N11" t="n">
        <v>8.779999999999999</v>
      </c>
      <c r="O11" t="n">
        <v>9.02</v>
      </c>
      <c r="P11" t="n">
        <v>9.24</v>
      </c>
      <c r="Q11" t="n">
        <v>28.57</v>
      </c>
      <c r="R11" t="inlineStr">
        <is>
          <t>正常</t>
        </is>
      </c>
    </row>
    <row r="12">
      <c r="A12" t="inlineStr">
        <is>
          <t>2026-05-15</t>
        </is>
      </c>
      <c r="B12" t="inlineStr">
        <is>
          <t>601929</t>
        </is>
      </c>
      <c r="C12" t="inlineStr">
        <is>
          <t>吉视传媒</t>
        </is>
      </c>
      <c r="D12" t="n">
        <v>2.9</v>
      </c>
      <c r="E12" t="n">
        <v>0.694</v>
      </c>
      <c r="F12" t="n">
        <v>0.91</v>
      </c>
      <c r="M12" t="n">
        <v>3</v>
      </c>
      <c r="N12" t="n">
        <v>2.97</v>
      </c>
      <c r="O12" t="n">
        <v>2.97</v>
      </c>
      <c r="P12" t="n">
        <v>3.18</v>
      </c>
      <c r="Q12" t="n">
        <v>37.66</v>
      </c>
      <c r="R12" t="inlineStr">
        <is>
          <t>正常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8.6796875" defaultRowHeight="16.8" outlineLevelRow="1"/>
  <cols>
    <col width="12" customWidth="1" min="1" max="1"/>
    <col width="14" customWidth="1" min="2" max="2"/>
    <col width="10" customWidth="1" min="3" max="6"/>
    <col width="14" customWidth="1" min="7" max="7"/>
    <col width="12" customWidth="1" min="8" max="9"/>
    <col width="25" customWidth="1" min="10" max="10"/>
    <col width="15" customWidth="1" min="11" max="11"/>
    <col width="25" customWidth="1" min="12" max="12"/>
  </cols>
  <sheetData>
    <row r="1">
      <c r="A1" s="1" t="inlineStr">
        <is>
          <t>操作日期</t>
        </is>
      </c>
      <c r="B1" s="1" t="inlineStr">
        <is>
          <t>股票名称</t>
        </is>
      </c>
      <c r="C1" s="1" t="inlineStr">
        <is>
          <t>代码</t>
        </is>
      </c>
      <c r="D1" s="1" t="inlineStr">
        <is>
          <t>操作类型</t>
        </is>
      </c>
      <c r="E1" s="1" t="inlineStr">
        <is>
          <t>数量</t>
        </is>
      </c>
      <c r="F1" s="1" t="inlineStr">
        <is>
          <t>成交价</t>
        </is>
      </c>
      <c r="G1" s="1" t="inlineStr">
        <is>
          <t>成交金额</t>
        </is>
      </c>
      <c r="H1" s="1" t="inlineStr">
        <is>
          <t>操作前持仓</t>
        </is>
      </c>
      <c r="I1" s="1" t="inlineStr">
        <is>
          <t>操作后持仓</t>
        </is>
      </c>
      <c r="J1" s="1" t="inlineStr">
        <is>
          <t>操作理由</t>
        </is>
      </c>
      <c r="K1" s="1" t="inlineStr">
        <is>
          <t>盈亏情况</t>
        </is>
      </c>
      <c r="L1" s="1" t="inlineStr">
        <is>
          <t>复盘备注</t>
        </is>
      </c>
    </row>
    <row r="2">
      <c r="A2" s="2" t="inlineStr">
        <is>
          <t>（示例）</t>
        </is>
      </c>
      <c r="B2" s="2" t="inlineStr">
        <is>
          <t>顺络电子</t>
        </is>
      </c>
      <c r="C2" s="3" t="inlineStr">
        <is>
          <t>002138</t>
        </is>
      </c>
      <c r="D2" s="2" t="inlineStr">
        <is>
          <t>买入</t>
        </is>
      </c>
      <c r="E2" s="2" t="n">
        <v>1000</v>
      </c>
      <c r="F2" s="2" t="n">
        <v>35</v>
      </c>
      <c r="G2" s="24">
        <f>IFERROR(E2*F2,"")</f>
        <v/>
      </c>
      <c r="H2" s="2" t="n">
        <v>0</v>
      </c>
      <c r="I2" s="2" t="n">
        <v>1000</v>
      </c>
      <c r="J2" s="2" t="inlineStr">
        <is>
          <t>突破MA60+主力流入</t>
        </is>
      </c>
      <c r="K2" s="2" t="inlineStr">
        <is>
          <t>待跟踪</t>
        </is>
      </c>
      <c r="L2" s="2" t="inlineStr">
        <is>
          <t>请删除本行示例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2026-05-14T17:54:00Z</dcterms:created>
  <dcterms:modified xmlns:dcterms="http://purl.org/dc/terms/" xmlns:xsi="http://www.w3.org/2001/XMLSchema-instance" xsi:type="dcterms:W3CDTF">2026-05-15T02:00:45Z</dcterms:modified>
  <cp:lastModifiedBy>cairuir</cp:lastModifiedBy>
  <cp:revision>0</cp:revision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2052-12.1.25869.25869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60AF8C8001B403C69B9E056A6E4BB7D0_42</vt:lpwstr>
  </property>
</Properties>
</file>